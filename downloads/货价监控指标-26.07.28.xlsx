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整改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[&gt;=100000000]0\.00,,&quot;亿&quot;;[&gt;=10000]0\.0,&quot;万&quot;;#,##0"/>
    <numFmt numFmtId="165" formatCode="0.0%"/>
    <numFmt numFmtId="166" formatCode="[&gt;=100000000]0.0\.00,,&quot;亿&quot;;[&gt;=10000]0.0\.0,&quot;万&quot;;#,##0.0"/>
    <numFmt numFmtId="167" formatCode="[&gt;=100000000]0.00\.00,,&quot;亿&quot;;[&gt;=10000]0.00\.0,&quot;万&quot;;#,##0.00"/>
    <numFmt numFmtId="168" formatCode="0.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b val="1"/>
      <color rgb="FF000000"/>
      <sz val="9"/>
    </font>
    <font>
      <name val="微软雅黑"/>
      <charset val="134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3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58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2" fontId="3" fillId="0" borderId="1" applyAlignment="1" pivotButton="0" quotePrefix="0" xfId="1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0" fontId="3" fillId="0" borderId="0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9" fillId="9" borderId="1" applyAlignment="1" pivotButton="0" quotePrefix="0" xfId="1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7" fillId="8" borderId="11" applyAlignment="1" pivotButton="0" quotePrefix="0" xfId="0">
      <alignment horizontal="center" vertical="center"/>
    </xf>
    <xf numFmtId="2" fontId="6" fillId="9" borderId="11" applyAlignment="1" pivotButton="0" quotePrefix="0" xfId="0">
      <alignment horizontal="center" vertical="center"/>
    </xf>
    <xf numFmtId="2" fontId="6" fillId="9" borderId="8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2" fontId="6" fillId="9" borderId="6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2" fontId="9" fillId="9" borderId="6" applyAlignment="1" pivotButton="0" quotePrefix="0" xfId="1">
      <alignment horizontal="center" vertical="center"/>
    </xf>
    <xf numFmtId="2" fontId="9" fillId="9" borderId="8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9" borderId="2" applyAlignment="1" pivotButton="0" quotePrefix="0" xfId="0">
      <alignment horizontal="center" vertical="center"/>
    </xf>
    <xf numFmtId="0" fontId="0" fillId="0" borderId="14" pivotButton="0" quotePrefix="0" xfId="0"/>
    <xf numFmtId="0" fontId="8" fillId="7" borderId="10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8" borderId="15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66" fontId="4" fillId="1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</cellXfs>
  <cellStyles count="2">
    <cellStyle name="常规" xfId="0" builtinId="0"/>
    <cellStyle name="百分比" xfId="1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作者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J35" authorId="0" shapeId="0">
      <text>
        <t>等于同比差值</t>
      </text>
    </comment>
    <comment ref="N3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3.xml><?xml version="1.0" encoding="utf-8"?>
<comments xmlns="http://schemas.openxmlformats.org/spreadsheetml/2006/main">
  <authors>
    <author>作者</author>
  </authors>
  <commentList>
    <comment ref="D10" authorId="0" shapeId="0">
      <text>
        <t>等于同比差值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A176"/>
  <sheetViews>
    <sheetView showGridLines="0" tabSelected="1" zoomScaleNormal="100" workbookViewId="0">
      <pane xSplit="2" topLeftCell="C1" activePane="topRight" state="frozen"/>
      <selection pane="topRight" activeCell="C63" sqref="C63"/>
    </sheetView>
  </sheetViews>
  <sheetFormatPr baseColWidth="8" defaultRowHeight="13"/>
  <cols>
    <col width="8.6640625" customWidth="1" style="45" min="1" max="1"/>
    <col width="8.4140625" customWidth="1" style="45" min="2" max="2"/>
    <col width="8.6640625" customWidth="1" style="45" min="3" max="4"/>
    <col width="9.6640625" customWidth="1" style="45" min="5" max="5"/>
    <col width="9.25" customWidth="1" style="45" min="6" max="6"/>
    <col width="11.08203125" customWidth="1" style="45" min="7" max="7"/>
    <col width="9.83203125" customWidth="1" style="45" min="8" max="8"/>
    <col width="11.1640625" customWidth="1" style="45" min="9" max="9"/>
    <col width="10.58203125" customWidth="1" style="45" min="10" max="10"/>
    <col width="9.4140625" customWidth="1" style="45" min="11" max="11"/>
    <col width="8.6640625" customWidth="1" style="45" min="12" max="13"/>
    <col width="8.9140625" bestFit="1" customWidth="1" style="45" min="14" max="14"/>
    <col width="10.25" customWidth="1" style="45" min="15" max="17"/>
    <col width="8.6640625" customWidth="1" style="45" min="18" max="20"/>
    <col width="8.6640625" customWidth="1" style="45" min="21" max="16384"/>
  </cols>
  <sheetData>
    <row r="1" ht="14" customHeight="1">
      <c r="B1" s="1" t="inlineStr">
        <is>
          <t>截止日期</t>
        </is>
      </c>
      <c r="C1" s="11" t="n">
        <v>46231</v>
      </c>
      <c r="D1" s="11" t="inlineStr">
        <is>
          <t>0点</t>
        </is>
      </c>
      <c r="F1" s="13" t="n"/>
    </row>
    <row r="2" ht="14" customHeight="1">
      <c r="B2" s="1" t="n"/>
      <c r="C2" s="11" t="n"/>
      <c r="F2" s="13" t="n"/>
    </row>
    <row r="3" ht="14" customHeight="1">
      <c r="B3" s="1" t="inlineStr">
        <is>
          <t>自营销售</t>
        </is>
      </c>
      <c r="C3" s="11" t="n"/>
    </row>
    <row r="4" ht="14" customHeight="1">
      <c r="B4" s="1" t="inlineStr">
        <is>
          <t>MTD</t>
        </is>
      </c>
      <c r="C4" s="11" t="n"/>
    </row>
    <row r="5" ht="14" customHeight="1"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</row>
    <row r="6" ht="14" customHeight="1">
      <c r="B6" s="4" t="inlineStr">
        <is>
          <t>饰品1组</t>
        </is>
      </c>
      <c r="C6" s="103" t="n">
        <v>71810000</v>
      </c>
      <c r="D6" s="103" t="n">
        <v>59282290.94605001</v>
      </c>
      <c r="E6" s="104">
        <f>D6/C6</f>
        <v/>
      </c>
      <c r="F6" s="103" t="n">
        <v>57053880.82841</v>
      </c>
      <c r="G6" s="104">
        <f>D6/F6-1</f>
        <v/>
      </c>
      <c r="H6" s="103" t="n">
        <v>62579169.06536008</v>
      </c>
      <c r="I6" s="104">
        <f>D6/H6</f>
        <v/>
      </c>
      <c r="J6" s="103" t="n">
        <v>62600000</v>
      </c>
      <c r="K6" s="104">
        <f>D6/J6</f>
        <v/>
      </c>
      <c r="L6" s="38" t="n"/>
    </row>
    <row r="7" ht="14" customHeight="1">
      <c r="B7" s="4" t="inlineStr">
        <is>
          <t>饰品2组</t>
        </is>
      </c>
      <c r="C7" s="103" t="n">
        <v>132000000</v>
      </c>
      <c r="D7" s="103" t="n">
        <v>82216567.05815001</v>
      </c>
      <c r="E7" s="104">
        <f>D7/C7</f>
        <v/>
      </c>
      <c r="F7" s="103" t="n">
        <v>91704524.86462997</v>
      </c>
      <c r="G7" s="104">
        <f>D7/F7-1</f>
        <v/>
      </c>
      <c r="H7" s="103" t="n">
        <v>115032033.3745652</v>
      </c>
      <c r="I7" s="104">
        <f>D7/H7</f>
        <v/>
      </c>
      <c r="J7" s="103" t="n">
        <v>115026097</v>
      </c>
      <c r="K7" s="104">
        <f>D7/J7</f>
        <v/>
      </c>
      <c r="L7" s="38" t="n"/>
    </row>
    <row r="8">
      <c r="B8" s="4" t="inlineStr">
        <is>
          <t>海淘组</t>
        </is>
      </c>
      <c r="C8" s="103" t="n">
        <v>9437018</v>
      </c>
      <c r="D8" s="103" t="n">
        <v>9352880.30896</v>
      </c>
      <c r="E8" s="104">
        <f>D8/C8</f>
        <v/>
      </c>
      <c r="F8" s="103" t="n">
        <v>6429613.647990001</v>
      </c>
      <c r="G8" s="104">
        <f>D8/F8-1</f>
        <v/>
      </c>
      <c r="H8" s="103" t="n">
        <v>8223934.617669493</v>
      </c>
      <c r="I8" s="104">
        <f>D8/H8</f>
        <v/>
      </c>
      <c r="J8" s="103" t="n">
        <v>8257018.15389968</v>
      </c>
      <c r="K8" s="104">
        <f>D8/J8</f>
        <v/>
      </c>
      <c r="L8" s="38" t="n"/>
    </row>
    <row r="9" ht="14" customHeight="1">
      <c r="B9" s="4" t="inlineStr">
        <is>
          <t>珠宝1组</t>
        </is>
      </c>
      <c r="C9" s="103" t="n">
        <v>88000000</v>
      </c>
      <c r="D9" s="103" t="n">
        <v>72595270.08000998</v>
      </c>
      <c r="E9" s="104">
        <f>D9/C9</f>
        <v/>
      </c>
      <c r="F9" s="103" t="n">
        <v>63877686.13121</v>
      </c>
      <c r="G9" s="104">
        <f>D9/F9-1</f>
        <v/>
      </c>
      <c r="H9" s="103" t="n">
        <v>76688022.24971017</v>
      </c>
      <c r="I9" s="104">
        <f>D9/H9</f>
        <v/>
      </c>
      <c r="J9" s="103" t="n">
        <v>77541457</v>
      </c>
      <c r="K9" s="104">
        <f>D9/J9</f>
        <v/>
      </c>
      <c r="L9" s="38" t="n"/>
    </row>
    <row r="10" ht="14" customHeight="1">
      <c r="B10" s="4" t="inlineStr">
        <is>
          <t>珠宝2组</t>
        </is>
      </c>
      <c r="C10" s="103" t="n">
        <v>66000000</v>
      </c>
      <c r="D10" s="103" t="n">
        <v>53355811.23975999</v>
      </c>
      <c r="E10" s="104">
        <f>D10/C10</f>
        <v/>
      </c>
      <c r="F10" s="103" t="n">
        <v>47343676.45017999</v>
      </c>
      <c r="G10" s="104">
        <f>D10/F10-1</f>
        <v/>
      </c>
      <c r="H10" s="103" t="n">
        <v>57516016.68728262</v>
      </c>
      <c r="I10" s="104">
        <f>D10/H10</f>
        <v/>
      </c>
      <c r="J10" s="103" t="n">
        <v>57900000</v>
      </c>
      <c r="K10" s="104">
        <f>D10/J10</f>
        <v/>
      </c>
      <c r="L10" s="38" t="n"/>
    </row>
    <row r="11" ht="14" customHeight="1">
      <c r="B11" s="4" t="inlineStr">
        <is>
          <t>珠宝3组</t>
        </is>
      </c>
      <c r="C11" s="103" t="n">
        <v>62390797</v>
      </c>
      <c r="D11" s="103" t="n">
        <v>40718302.81533001</v>
      </c>
      <c r="E11" s="104">
        <f>D11/C11</f>
        <v/>
      </c>
      <c r="F11" s="103" t="n">
        <v>47251904.58927</v>
      </c>
      <c r="G11" s="104">
        <f>D11/F11-1</f>
        <v/>
      </c>
      <c r="H11" s="103" t="n">
        <v>54370759.41492216</v>
      </c>
      <c r="I11" s="104">
        <f>D11/H11</f>
        <v/>
      </c>
      <c r="J11" s="103" t="n">
        <v>54654650.90000002</v>
      </c>
      <c r="K11" s="104">
        <f>D11/J11</f>
        <v/>
      </c>
      <c r="L11" s="38" t="n"/>
    </row>
    <row r="12" ht="14" customHeight="1"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38" t="n"/>
    </row>
    <row r="13" ht="14" customHeight="1">
      <c r="B13" s="1" t="n"/>
      <c r="C13" s="11" t="n"/>
    </row>
    <row r="14" ht="14" customHeight="1">
      <c r="B14" s="1" t="inlineStr">
        <is>
          <t>历史月份完成</t>
        </is>
      </c>
      <c r="C14" s="11" t="n"/>
      <c r="G14" s="8" t="n"/>
      <c r="H14" s="19" t="n"/>
    </row>
    <row r="15" ht="14" customHeight="1"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  <c r="H15" s="105" t="inlineStr">
        <is>
          <t>1月</t>
        </is>
      </c>
      <c r="I15" s="79" t="n"/>
      <c r="J15" s="79" t="n"/>
      <c r="K15" s="79" t="n"/>
      <c r="L15" s="80" t="n"/>
      <c r="M15" s="102" t="inlineStr">
        <is>
          <t>2月</t>
        </is>
      </c>
      <c r="N15" s="79" t="n"/>
      <c r="O15" s="79" t="n"/>
      <c r="P15" s="79" t="n"/>
      <c r="Q15" s="80" t="n"/>
      <c r="R15" s="105" t="inlineStr">
        <is>
          <t>3月</t>
        </is>
      </c>
      <c r="S15" s="79" t="n"/>
      <c r="T15" s="79" t="n"/>
      <c r="U15" s="79" t="n"/>
      <c r="V15" s="80" t="n"/>
      <c r="W15" s="102" t="inlineStr">
        <is>
          <t>4月</t>
        </is>
      </c>
      <c r="X15" s="79" t="n"/>
      <c r="Y15" s="79" t="n"/>
      <c r="Z15" s="79" t="n"/>
      <c r="AA15" s="80" t="n"/>
      <c r="AB15" s="105" t="inlineStr">
        <is>
          <t>5月</t>
        </is>
      </c>
      <c r="AC15" s="79" t="n"/>
      <c r="AD15" s="79" t="n"/>
      <c r="AE15" s="79" t="n"/>
      <c r="AF15" s="80" t="n"/>
      <c r="AG15" s="102" t="inlineStr">
        <is>
          <t>6月</t>
        </is>
      </c>
      <c r="AH15" s="79" t="n"/>
      <c r="AI15" s="79" t="n"/>
      <c r="AJ15" s="79" t="n"/>
      <c r="AK15" s="80" t="n"/>
    </row>
    <row r="16" ht="13.5" customHeight="1"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  <c r="H16" s="105" t="inlineStr">
        <is>
          <t>1月目标</t>
        </is>
      </c>
      <c r="I16" s="105" t="inlineStr">
        <is>
          <t>1月完成</t>
        </is>
      </c>
      <c r="J16" s="105" t="inlineStr">
        <is>
          <t>1月完成率</t>
        </is>
      </c>
      <c r="K16" s="105" t="inlineStr">
        <is>
          <t>同期</t>
        </is>
      </c>
      <c r="L16" s="105" t="inlineStr">
        <is>
          <t>业绩同比</t>
        </is>
      </c>
      <c r="M16" s="102" t="inlineStr">
        <is>
          <t>2月目标</t>
        </is>
      </c>
      <c r="N16" s="102" t="inlineStr">
        <is>
          <t>2月完成</t>
        </is>
      </c>
      <c r="O16" s="102" t="inlineStr">
        <is>
          <t>2月完成率</t>
        </is>
      </c>
      <c r="P16" s="102" t="inlineStr">
        <is>
          <t>同期</t>
        </is>
      </c>
      <c r="Q16" s="102" t="inlineStr">
        <is>
          <t>业绩同比</t>
        </is>
      </c>
      <c r="R16" s="105" t="inlineStr">
        <is>
          <t>3月目标</t>
        </is>
      </c>
      <c r="S16" s="105" t="inlineStr">
        <is>
          <t>3月完成</t>
        </is>
      </c>
      <c r="T16" s="105" t="inlineStr">
        <is>
          <t>3月完成率</t>
        </is>
      </c>
      <c r="U16" s="105" t="inlineStr">
        <is>
          <t>同期</t>
        </is>
      </c>
      <c r="V16" s="105" t="inlineStr">
        <is>
          <t>业绩同比</t>
        </is>
      </c>
      <c r="W16" s="102" t="inlineStr">
        <is>
          <t>4月目标</t>
        </is>
      </c>
      <c r="X16" s="102" t="inlineStr">
        <is>
          <t>4月完成</t>
        </is>
      </c>
      <c r="Y16" s="102" t="inlineStr">
        <is>
          <t>4月完成率</t>
        </is>
      </c>
      <c r="Z16" s="102" t="inlineStr">
        <is>
          <t>同期</t>
        </is>
      </c>
      <c r="AA16" s="102" t="inlineStr">
        <is>
          <t>业绩同比</t>
        </is>
      </c>
      <c r="AB16" s="105" t="inlineStr">
        <is>
          <t>5月目标</t>
        </is>
      </c>
      <c r="AC16" s="105" t="inlineStr">
        <is>
          <t>5月完成</t>
        </is>
      </c>
      <c r="AD16" s="105" t="inlineStr">
        <is>
          <t>5月完成率</t>
        </is>
      </c>
      <c r="AE16" s="105" t="inlineStr">
        <is>
          <t>同期</t>
        </is>
      </c>
      <c r="AF16" s="105" t="inlineStr">
        <is>
          <t>业绩同比</t>
        </is>
      </c>
      <c r="AG16" s="102" t="inlineStr">
        <is>
          <t>6月目标</t>
        </is>
      </c>
      <c r="AH16" s="102" t="inlineStr">
        <is>
          <t>6月完成</t>
        </is>
      </c>
      <c r="AI16" s="102" t="inlineStr">
        <is>
          <t>6月完成率</t>
        </is>
      </c>
      <c r="AJ16" s="102" t="inlineStr">
        <is>
          <t>同期</t>
        </is>
      </c>
      <c r="AK16" s="102" t="inlineStr">
        <is>
          <t>业绩同比</t>
        </is>
      </c>
    </row>
    <row r="17" ht="14" customHeight="1">
      <c r="B17" s="4" t="inlineStr">
        <is>
          <t>饰品1组</t>
        </is>
      </c>
      <c r="C17" s="103">
        <f>H17+H6+M17+R17+W17+AB17+AG17</f>
        <v/>
      </c>
      <c r="D17" s="103">
        <f>I17+D6+N17+S17+X17+AC17+AH17</f>
        <v/>
      </c>
      <c r="E17" s="104">
        <f>D17/C17</f>
        <v/>
      </c>
      <c r="F17" s="103">
        <f>K17+F6+P17+U17+Z17+AE17+AJ17</f>
        <v/>
      </c>
      <c r="G17" s="104">
        <f>D17/F17-1</f>
        <v/>
      </c>
      <c r="H17" s="103" t="n">
        <v>66805489</v>
      </c>
      <c r="I17" s="103" t="n">
        <v>75157886.94628999</v>
      </c>
      <c r="J17" s="104">
        <f>I17/H17</f>
        <v/>
      </c>
      <c r="K17" s="103" t="n">
        <v>62193125.21781</v>
      </c>
      <c r="L17" s="104">
        <f>I17/K17-1</f>
        <v/>
      </c>
      <c r="M17" s="103" t="n">
        <v>64967749</v>
      </c>
      <c r="N17" s="103" t="n">
        <v>65102743.40245</v>
      </c>
      <c r="O17" s="104">
        <f>N17/M17</f>
        <v/>
      </c>
      <c r="P17" s="103" t="n">
        <v>61562161.55425999</v>
      </c>
      <c r="Q17" s="104">
        <f>N17/P17-1</f>
        <v/>
      </c>
      <c r="R17" s="103" t="n">
        <v>85500000</v>
      </c>
      <c r="S17" s="103" t="n">
        <v>84127237.03242999</v>
      </c>
      <c r="T17" s="104">
        <f>S17/R17</f>
        <v/>
      </c>
      <c r="U17" s="103" t="n">
        <v>80861414.19235997</v>
      </c>
      <c r="V17" s="104">
        <f>S17/U17-1</f>
        <v/>
      </c>
      <c r="W17" s="103" t="n">
        <v>87500000</v>
      </c>
      <c r="X17" s="103" t="n">
        <v>87560608.37718002</v>
      </c>
      <c r="Y17" s="104">
        <f>X17/W17</f>
        <v/>
      </c>
      <c r="Z17" s="103" t="n">
        <v>82427193.20645998</v>
      </c>
      <c r="AA17" s="104">
        <f>X17/Z17-1</f>
        <v/>
      </c>
      <c r="AB17" s="103" t="n">
        <v>90500000</v>
      </c>
      <c r="AC17" s="103" t="n">
        <v>92247738.73822999</v>
      </c>
      <c r="AD17" s="104">
        <f>AC17/AB17</f>
        <v/>
      </c>
      <c r="AE17" s="103" t="n">
        <v>85642530.33848001</v>
      </c>
      <c r="AF17" s="104">
        <f>AC17/AE17-1</f>
        <v/>
      </c>
      <c r="AG17" s="103" t="n">
        <v>75008732</v>
      </c>
      <c r="AH17" s="103" t="n">
        <v>78830244.92048</v>
      </c>
      <c r="AI17" s="104">
        <f>AH17/AG17</f>
        <v/>
      </c>
      <c r="AJ17" s="103" t="n">
        <v>70599332.63226001</v>
      </c>
      <c r="AK17" s="104">
        <f>AH17/AJ17-1</f>
        <v/>
      </c>
    </row>
    <row r="18" ht="14" customHeight="1">
      <c r="B18" s="4" t="inlineStr">
        <is>
          <t>饰品2组</t>
        </is>
      </c>
      <c r="C18" s="103">
        <f>H18+H7+M18+R18+W18+AB18+AG18</f>
        <v/>
      </c>
      <c r="D18" s="103">
        <f>I18+D7+N18+S18+X18+AC18+AH18</f>
        <v/>
      </c>
      <c r="E18" s="104">
        <f>D18/C18</f>
        <v/>
      </c>
      <c r="F18" s="103">
        <f>K18+F7+P18+U18+Z18+AE18+AJ18</f>
        <v/>
      </c>
      <c r="G18" s="104">
        <f>D18/F18-1</f>
        <v/>
      </c>
      <c r="H18" s="103" t="n">
        <v>166917899</v>
      </c>
      <c r="I18" s="103" t="n">
        <v>147154400.71296</v>
      </c>
      <c r="J18" s="104">
        <f>I18/H18</f>
        <v/>
      </c>
      <c r="K18" s="103" t="n">
        <v>139284473.4678899</v>
      </c>
      <c r="L18" s="104">
        <f>I18/K18-1</f>
        <v/>
      </c>
      <c r="M18" s="103" t="n">
        <v>121176410</v>
      </c>
      <c r="N18" s="103" t="n">
        <v>100323158.00826</v>
      </c>
      <c r="O18" s="104">
        <f>N18/M18</f>
        <v/>
      </c>
      <c r="P18" s="103" t="n">
        <v>92957760.08076999</v>
      </c>
      <c r="Q18" s="104">
        <f>N18/P18-1</f>
        <v/>
      </c>
      <c r="R18" s="103" t="n">
        <v>149666097</v>
      </c>
      <c r="S18" s="103" t="n">
        <v>115540127.44901</v>
      </c>
      <c r="T18" s="104">
        <f>S18/R18</f>
        <v/>
      </c>
      <c r="U18" s="103" t="n">
        <v>124709048.818</v>
      </c>
      <c r="V18" s="104">
        <f>S18/U18-1</f>
        <v/>
      </c>
      <c r="W18" s="103" t="n">
        <v>159000000</v>
      </c>
      <c r="X18" s="103" t="n">
        <v>122586915.8165</v>
      </c>
      <c r="Y18" s="104">
        <f>X18/W18</f>
        <v/>
      </c>
      <c r="Z18" s="103" t="n">
        <v>133891776.93629</v>
      </c>
      <c r="AA18" s="104">
        <f>X18/Z18-1</f>
        <v/>
      </c>
      <c r="AB18" s="103" t="n">
        <v>167000000</v>
      </c>
      <c r="AC18" s="103" t="n">
        <v>129220330.1276</v>
      </c>
      <c r="AD18" s="104">
        <f>AC18/AB18</f>
        <v/>
      </c>
      <c r="AE18" s="103" t="n">
        <v>140909244.71651</v>
      </c>
      <c r="AF18" s="104">
        <f>AC18/AE18-1</f>
        <v/>
      </c>
      <c r="AG18" s="103" t="n">
        <v>135000000</v>
      </c>
      <c r="AH18" s="103" t="n">
        <v>97296856.42804</v>
      </c>
      <c r="AI18" s="104">
        <f>AH18/AG18</f>
        <v/>
      </c>
      <c r="AJ18" s="103" t="n">
        <v>114042030.67125</v>
      </c>
      <c r="AK18" s="104">
        <f>AH18/AJ18-1</f>
        <v/>
      </c>
    </row>
    <row r="19" ht="14" customHeight="1">
      <c r="B19" s="4" t="inlineStr">
        <is>
          <t>海淘组</t>
        </is>
      </c>
      <c r="C19" s="103">
        <f>H19+H8+M19+R19+W19+AB19+AG19</f>
        <v/>
      </c>
      <c r="D19" s="103">
        <f>I19+D8+N19+S19+X19+AC19+AH19</f>
        <v/>
      </c>
      <c r="E19" s="104">
        <f>D19/C19</f>
        <v/>
      </c>
      <c r="F19" s="103">
        <f>K19+F8+P19+U19+Z19+AE19+AJ19</f>
        <v/>
      </c>
      <c r="G19" s="104">
        <f>D19/F19-1</f>
        <v/>
      </c>
      <c r="H19" s="103" t="n">
        <v>12361972</v>
      </c>
      <c r="I19" s="103" t="n">
        <v>15663279.21225</v>
      </c>
      <c r="J19" s="104">
        <f>I19/H19</f>
        <v/>
      </c>
      <c r="K19" s="103" t="n">
        <v>10578276.17718</v>
      </c>
      <c r="L19" s="104">
        <f>I19/K19-1</f>
        <v/>
      </c>
      <c r="M19" s="103" t="n">
        <v>12531780</v>
      </c>
      <c r="N19" s="103" t="n">
        <v>15904460.09178</v>
      </c>
      <c r="O19" s="104">
        <f>N19/M19</f>
        <v/>
      </c>
      <c r="P19" s="103" t="n">
        <v>11369547.31715</v>
      </c>
      <c r="Q19" s="104">
        <f>N19/P19-1</f>
        <v/>
      </c>
      <c r="R19" s="103" t="n">
        <v>14364169</v>
      </c>
      <c r="S19" s="103" t="n">
        <v>17546643.63365</v>
      </c>
      <c r="T19" s="104">
        <f>S19/R19</f>
        <v/>
      </c>
      <c r="U19" s="103" t="n">
        <v>12314469.92101</v>
      </c>
      <c r="V19" s="104">
        <f>S19/U19-1</f>
        <v/>
      </c>
      <c r="W19" s="103" t="n">
        <v>14909847</v>
      </c>
      <c r="X19" s="103" t="n">
        <v>16209575.43853999</v>
      </c>
      <c r="Y19" s="104">
        <f>X19/W19</f>
        <v/>
      </c>
      <c r="Z19" s="103" t="n">
        <v>12780802.04293</v>
      </c>
      <c r="AA19" s="104">
        <f>X19/Z19-1</f>
        <v/>
      </c>
      <c r="AB19" s="103" t="n">
        <v>13930836</v>
      </c>
      <c r="AC19" s="103" t="n">
        <v>17184923.91334</v>
      </c>
      <c r="AD19" s="104">
        <f>AC19/AB19</f>
        <v/>
      </c>
      <c r="AE19" s="103" t="n">
        <v>11686496.80066</v>
      </c>
      <c r="AF19" s="104">
        <f>AC19/AE19-1</f>
        <v/>
      </c>
      <c r="AG19" s="103" t="n">
        <v>9709857</v>
      </c>
      <c r="AH19" s="103" t="n">
        <v>12495040.30841</v>
      </c>
      <c r="AI19" s="104">
        <f>AH19/AG19</f>
        <v/>
      </c>
      <c r="AJ19" s="103" t="n">
        <v>7803287.171700002</v>
      </c>
      <c r="AK19" s="104">
        <f>AH19/AJ19-1</f>
        <v/>
      </c>
    </row>
    <row r="20" ht="14" customHeight="1">
      <c r="B20" s="4" t="inlineStr">
        <is>
          <t>珠宝1组</t>
        </is>
      </c>
      <c r="C20" s="103">
        <f>H20+H9+M20+R20+W20+AB20+AG20</f>
        <v/>
      </c>
      <c r="D20" s="103">
        <f>I20+D9+N20+S20+X20+AC20+AH20</f>
        <v/>
      </c>
      <c r="E20" s="104">
        <f>D20/C20</f>
        <v/>
      </c>
      <c r="F20" s="103">
        <f>K20+F9+P20+U20+Z20+AE20+AJ20</f>
        <v/>
      </c>
      <c r="G20" s="104">
        <f>D20/F20-1</f>
        <v/>
      </c>
      <c r="H20" s="103" t="n">
        <v>153070506</v>
      </c>
      <c r="I20" s="103" t="n">
        <v>149853955.98129</v>
      </c>
      <c r="J20" s="104">
        <f>I20/H20</f>
        <v/>
      </c>
      <c r="K20" s="103" t="n">
        <v>133573054.92636</v>
      </c>
      <c r="L20" s="104">
        <f>I20/K20-1</f>
        <v/>
      </c>
      <c r="M20" s="103" t="n">
        <v>119985899</v>
      </c>
      <c r="N20" s="103" t="n">
        <v>122495393.90419</v>
      </c>
      <c r="O20" s="104">
        <f>N20/M20</f>
        <v/>
      </c>
      <c r="P20" s="103" t="n">
        <v>115231325.0318</v>
      </c>
      <c r="Q20" s="104">
        <f>N20/P20-1</f>
        <v/>
      </c>
      <c r="R20" s="103" t="n">
        <v>124000000</v>
      </c>
      <c r="S20" s="103" t="n">
        <v>113766950.90421</v>
      </c>
      <c r="T20" s="104">
        <f>S20/R20</f>
        <v/>
      </c>
      <c r="U20" s="103" t="n">
        <v>107716849.65928</v>
      </c>
      <c r="V20" s="104">
        <f>S20/U20-1</f>
        <v/>
      </c>
      <c r="W20" s="103" t="n">
        <v>111000000</v>
      </c>
      <c r="X20" s="103" t="n">
        <v>76671412.99905999</v>
      </c>
      <c r="Y20" s="104">
        <f>X20/W20</f>
        <v/>
      </c>
      <c r="Z20" s="103" t="n">
        <v>96906534.88341002</v>
      </c>
      <c r="AA20" s="104">
        <f>X20/Z20-1</f>
        <v/>
      </c>
      <c r="AB20" s="103" t="n">
        <v>125000000</v>
      </c>
      <c r="AC20" s="103" t="n">
        <v>131730352.44366</v>
      </c>
      <c r="AD20" s="104">
        <f>AC20/AB20</f>
        <v/>
      </c>
      <c r="AE20" s="103" t="n">
        <v>109483153.26701</v>
      </c>
      <c r="AF20" s="104">
        <f>AC20/AE20-1</f>
        <v/>
      </c>
      <c r="AG20" s="103" t="n">
        <v>104000000</v>
      </c>
      <c r="AH20" s="103" t="n">
        <v>89351739.05991998</v>
      </c>
      <c r="AI20" s="104">
        <f>AH20/AG20</f>
        <v/>
      </c>
      <c r="AJ20" s="103" t="n">
        <v>91121782.15383001</v>
      </c>
      <c r="AK20" s="104">
        <f>AH20/AJ20-1</f>
        <v/>
      </c>
    </row>
    <row r="21" ht="14" customHeight="1">
      <c r="B21" s="4" t="inlineStr">
        <is>
          <t>珠宝2组</t>
        </is>
      </c>
      <c r="C21" s="103">
        <f>H21+H10+M21+R21+W21+AB21+AG21</f>
        <v/>
      </c>
      <c r="D21" s="103">
        <f>I21+D10+N21+S21+X21+AC21+AH21</f>
        <v/>
      </c>
      <c r="E21" s="104">
        <f>D21/C21</f>
        <v/>
      </c>
      <c r="F21" s="103">
        <f>K21+F10+P21+U21+Z21+AE21+AJ21</f>
        <v/>
      </c>
      <c r="G21" s="104">
        <f>D21/F21-1</f>
        <v/>
      </c>
      <c r="H21" s="103" t="n">
        <v>116730861</v>
      </c>
      <c r="I21" s="103" t="n">
        <v>108106098.28546</v>
      </c>
      <c r="J21" s="104">
        <f>I21/H21</f>
        <v/>
      </c>
      <c r="K21" s="103" t="n">
        <v>100754526.006</v>
      </c>
      <c r="L21" s="104">
        <f>I21/K21-1</f>
        <v/>
      </c>
      <c r="M21" s="103" t="n">
        <v>149568199</v>
      </c>
      <c r="N21" s="103" t="n">
        <v>92083582.30304</v>
      </c>
      <c r="O21" s="104">
        <f>N21/M21</f>
        <v/>
      </c>
      <c r="P21" s="103" t="n">
        <v>142498806.13318</v>
      </c>
      <c r="Q21" s="104">
        <f>N21/P21-1</f>
        <v/>
      </c>
      <c r="R21" s="103" t="n">
        <v>110000000</v>
      </c>
      <c r="S21" s="103" t="n">
        <v>90892387.41354001</v>
      </c>
      <c r="T21" s="104">
        <f>S21/R21</f>
        <v/>
      </c>
      <c r="U21" s="103" t="n">
        <v>96542725.62295</v>
      </c>
      <c r="V21" s="104">
        <f>S21/U21-1</f>
        <v/>
      </c>
      <c r="W21" s="103" t="n">
        <v>88000000</v>
      </c>
      <c r="X21" s="103" t="n">
        <v>60637515.29646</v>
      </c>
      <c r="Y21" s="104">
        <f>X21/W21</f>
        <v/>
      </c>
      <c r="Z21" s="103" t="n">
        <v>76289720.86648999</v>
      </c>
      <c r="AA21" s="104">
        <f>X21/Z21-1</f>
        <v/>
      </c>
      <c r="AB21" s="103" t="n">
        <v>113000000</v>
      </c>
      <c r="AC21" s="103" t="n">
        <v>107283441.80989</v>
      </c>
      <c r="AD21" s="104">
        <f>AC21/AB21</f>
        <v/>
      </c>
      <c r="AE21" s="103" t="n">
        <v>98510572.27473</v>
      </c>
      <c r="AF21" s="104">
        <f>AC21/AE21-1</f>
        <v/>
      </c>
      <c r="AG21" s="103" t="n">
        <v>65000000</v>
      </c>
      <c r="AH21" s="103" t="n">
        <v>67826846.48261002</v>
      </c>
      <c r="AI21" s="104">
        <f>AH21/AG21</f>
        <v/>
      </c>
      <c r="AJ21" s="103" t="n">
        <v>57531241.56743</v>
      </c>
      <c r="AK21" s="104">
        <f>AH21/AJ21-1</f>
        <v/>
      </c>
    </row>
    <row r="22" ht="14" customHeight="1">
      <c r="B22" s="4" t="inlineStr">
        <is>
          <t>珠宝3组</t>
        </is>
      </c>
      <c r="C22" s="103">
        <f>H22+H11+M22+R22+W22+AB22+AG22</f>
        <v/>
      </c>
      <c r="D22" s="103">
        <f>I22+D11+N22+S22+X22+AC22+AH22</f>
        <v/>
      </c>
      <c r="E22" s="104">
        <f>D22/C22</f>
        <v/>
      </c>
      <c r="F22" s="103">
        <f>K22+F11+P22+U22+Z22+AE22+AJ22</f>
        <v/>
      </c>
      <c r="G22" s="104">
        <f>D22/F22-1</f>
        <v/>
      </c>
      <c r="H22" s="103" t="n">
        <v>61749980</v>
      </c>
      <c r="I22" s="103" t="n">
        <v>58656531.59586002</v>
      </c>
      <c r="J22" s="104">
        <f>I22/H22</f>
        <v/>
      </c>
      <c r="K22" s="103" t="n">
        <v>54108121.04595999</v>
      </c>
      <c r="L22" s="104">
        <f>I22/K22-1</f>
        <v/>
      </c>
      <c r="M22" s="103" t="n">
        <v>54819029</v>
      </c>
      <c r="N22" s="103" t="n">
        <v>51963518.35253999</v>
      </c>
      <c r="O22" s="104">
        <f>N22/M22</f>
        <v/>
      </c>
      <c r="P22" s="103" t="n">
        <v>51657372.74155001</v>
      </c>
      <c r="Q22" s="104">
        <f>N22/P22-1</f>
        <v/>
      </c>
      <c r="R22" s="103" t="n">
        <v>67880797</v>
      </c>
      <c r="S22" s="103" t="n">
        <v>56174213.72602999</v>
      </c>
      <c r="T22" s="104">
        <f>S22/R22</f>
        <v/>
      </c>
      <c r="U22" s="103" t="n">
        <v>59629252.81211999</v>
      </c>
      <c r="V22" s="104">
        <f>S22/U22-1</f>
        <v/>
      </c>
      <c r="W22" s="103" t="n">
        <v>71911226</v>
      </c>
      <c r="X22" s="103" t="n">
        <v>52637000.6932</v>
      </c>
      <c r="Y22" s="104">
        <f>X22/W22</f>
        <v/>
      </c>
      <c r="Z22" s="103" t="n">
        <v>63148669.64872</v>
      </c>
      <c r="AA22" s="104">
        <f>X22/Z22-1</f>
        <v/>
      </c>
      <c r="AB22" s="103" t="n">
        <v>99180989</v>
      </c>
      <c r="AC22" s="103" t="n">
        <v>71091802.81850001</v>
      </c>
      <c r="AD22" s="104">
        <f>AC22/AB22</f>
        <v/>
      </c>
      <c r="AE22" s="103" t="n">
        <v>87088997.22617002</v>
      </c>
      <c r="AF22" s="104">
        <f>AC22/AE22-1</f>
        <v/>
      </c>
      <c r="AG22" s="103" t="n">
        <v>69111524</v>
      </c>
      <c r="AH22" s="103" t="n">
        <v>54088680.61899</v>
      </c>
      <c r="AI22" s="104">
        <f>AH22/AG22</f>
        <v/>
      </c>
      <c r="AJ22" s="103" t="n">
        <v>60586484.79090001</v>
      </c>
      <c r="AK22" s="104">
        <f>AH22/AJ22-1</f>
        <v/>
      </c>
    </row>
    <row r="23" ht="14" customHeight="1">
      <c r="B23" s="4" t="inlineStr">
        <is>
          <t>总</t>
        </is>
      </c>
      <c r="C23" s="103">
        <f>H23+H12+M23+R23+W23+AB23+AG23</f>
        <v/>
      </c>
      <c r="D23" s="103">
        <f>I23+D12+N23+S23+X23+AC23+AH23</f>
        <v/>
      </c>
      <c r="E23" s="104">
        <f>D23/C23</f>
        <v/>
      </c>
      <c r="F23" s="103">
        <f>K23+F12+P23+U23+Z23+AE23+AJ23</f>
        <v/>
      </c>
      <c r="G23" s="104">
        <f>D23/F23-1</f>
        <v/>
      </c>
      <c r="H23" s="103">
        <f>SUM(H17:H22)</f>
        <v/>
      </c>
      <c r="I23" s="103">
        <f>SUM(I17:I22)</f>
        <v/>
      </c>
      <c r="J23" s="104">
        <f>I23/H23</f>
        <v/>
      </c>
      <c r="K23" s="103">
        <f>SUM(K17:K22)</f>
        <v/>
      </c>
      <c r="L23" s="104">
        <f>I23/K23-1</f>
        <v/>
      </c>
      <c r="M23" s="103">
        <f>SUM(M17:M22)</f>
        <v/>
      </c>
      <c r="N23" s="103">
        <f>SUM(N17:N22)</f>
        <v/>
      </c>
      <c r="O23" s="104">
        <f>N23/M23</f>
        <v/>
      </c>
      <c r="P23" s="103">
        <f>SUM(P17:P22)</f>
        <v/>
      </c>
      <c r="Q23" s="104">
        <f>N23/P23-1</f>
        <v/>
      </c>
      <c r="R23" s="103">
        <f>SUM(R17:R22)</f>
        <v/>
      </c>
      <c r="S23" s="103">
        <f>SUM(S17:S22)</f>
        <v/>
      </c>
      <c r="T23" s="104">
        <f>S23/R23</f>
        <v/>
      </c>
      <c r="U23" s="103">
        <f>SUM(U17:U22)</f>
        <v/>
      </c>
      <c r="V23" s="104">
        <f>S23/U23-1</f>
        <v/>
      </c>
      <c r="W23" s="103">
        <f>SUM(W17:W22)</f>
        <v/>
      </c>
      <c r="X23" s="103">
        <f>SUM(X17:X22)</f>
        <v/>
      </c>
      <c r="Y23" s="104">
        <f>X23/W23</f>
        <v/>
      </c>
      <c r="Z23" s="103">
        <f>SUM(Z17:Z22)</f>
        <v/>
      </c>
      <c r="AA23" s="104">
        <f>X23/Z23-1</f>
        <v/>
      </c>
      <c r="AB23" s="103">
        <f>SUM(AB17:AB22)</f>
        <v/>
      </c>
      <c r="AC23" s="103">
        <f>SUM(AC17:AC22)</f>
        <v/>
      </c>
      <c r="AD23" s="104">
        <f>AC23/AB23</f>
        <v/>
      </c>
      <c r="AE23" s="103">
        <f>SUM(AE17:AE22)</f>
        <v/>
      </c>
      <c r="AF23" s="104">
        <f>AC23/AE23-1</f>
        <v/>
      </c>
      <c r="AG23" s="103">
        <f>SUM(AG17:AG22)</f>
        <v/>
      </c>
      <c r="AH23" s="103">
        <f>SUM(AH17:AH22)</f>
        <v/>
      </c>
      <c r="AI23" s="104">
        <f>AH23/AG23</f>
        <v/>
      </c>
      <c r="AJ23" s="103">
        <f>SUM(AJ17:AJ22)</f>
        <v/>
      </c>
      <c r="AK23" s="104">
        <f>AH23/AJ23-1</f>
        <v/>
      </c>
    </row>
    <row r="24" ht="14" customHeight="1">
      <c r="B24" s="1" t="n"/>
    </row>
    <row r="25" ht="14" customHeight="1"/>
    <row r="26" ht="13.5" customHeight="1">
      <c r="B26" s="1" t="inlineStr">
        <is>
          <t>毛利</t>
        </is>
      </c>
      <c r="C26" s="8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</row>
    <row r="28" hidden="1">
      <c r="B28" s="4" t="inlineStr">
        <is>
          <t>1月</t>
        </is>
      </c>
      <c r="C28" s="103" t="n">
        <v>555622780.1328487</v>
      </c>
      <c r="D28" s="103" t="n">
        <v>396706641.059715</v>
      </c>
      <c r="E28" s="103">
        <f>D28*F28</f>
        <v/>
      </c>
      <c r="F28" s="100" t="n">
        <v>0.182220718877206</v>
      </c>
      <c r="G28" s="100" t="n">
        <v>0.1909413295</v>
      </c>
      <c r="H28" s="100">
        <f>F28-G28</f>
        <v/>
      </c>
      <c r="I28" s="104">
        <f>F28/G28</f>
        <v/>
      </c>
      <c r="J28" s="103">
        <f>D28*H28</f>
        <v/>
      </c>
    </row>
    <row r="29" hidden="1">
      <c r="B29" s="4" t="inlineStr">
        <is>
          <t>2月</t>
        </is>
      </c>
      <c r="C29" s="103" t="n">
        <v>447220282.0004701</v>
      </c>
      <c r="D29" s="103" t="n">
        <v>334502062.080119</v>
      </c>
      <c r="E29" s="103">
        <f>D29*F29</f>
        <v/>
      </c>
      <c r="F29" s="100" t="n">
        <v>0.1787015165763481</v>
      </c>
      <c r="G29" s="100" t="n">
        <v>0.1646759882</v>
      </c>
      <c r="H29" s="100">
        <f>F29-G29</f>
        <v/>
      </c>
      <c r="I29" s="104">
        <f>F29/G29</f>
        <v/>
      </c>
      <c r="J29" s="103">
        <f>D29*H29</f>
        <v/>
      </c>
      <c r="K29" s="13" t="n"/>
    </row>
    <row r="30" hidden="1">
      <c r="B30" s="4" t="inlineStr">
        <is>
          <t>3月</t>
        </is>
      </c>
      <c r="C30" s="103" t="n">
        <v>478333443.9258449</v>
      </c>
      <c r="D30" s="103" t="n">
        <v>328879123.24982</v>
      </c>
      <c r="E30" s="103">
        <f>D30*F30</f>
        <v/>
      </c>
      <c r="F30" s="100" t="n">
        <v>0.1953340662036022</v>
      </c>
      <c r="G30" s="100" t="n">
        <v>0.1908887558</v>
      </c>
      <c r="H30" s="100">
        <f>F30-G30</f>
        <v/>
      </c>
      <c r="I30" s="104">
        <f>F30/G30</f>
        <v/>
      </c>
      <c r="J30" s="103">
        <f>D30*H30</f>
        <v/>
      </c>
      <c r="K30" s="13" t="n"/>
    </row>
    <row r="31" hidden="1">
      <c r="B31" s="4" t="inlineStr">
        <is>
          <t>4月</t>
        </is>
      </c>
      <c r="C31" s="103" t="n">
        <v>416610612.2792049</v>
      </c>
      <c r="D31" s="103" t="n">
        <v>282321870.920285</v>
      </c>
      <c r="E31" s="103">
        <f>D31*F31</f>
        <v/>
      </c>
      <c r="F31" s="100" t="n">
        <v>0.2130717603592461</v>
      </c>
      <c r="G31" s="100" t="n">
        <v>0.2043413644</v>
      </c>
      <c r="H31" s="100">
        <f>F31-G31</f>
        <v/>
      </c>
      <c r="I31" s="104">
        <f>F31/G31</f>
        <v/>
      </c>
      <c r="J31" s="103">
        <f>D31*H31</f>
        <v/>
      </c>
      <c r="K31" s="13" t="n"/>
    </row>
    <row r="32" hidden="1">
      <c r="B32" s="4" t="inlineStr">
        <is>
          <t>4月YTD</t>
        </is>
      </c>
      <c r="C32" s="103">
        <f>SUM(C28:C31)</f>
        <v/>
      </c>
      <c r="D32" s="103">
        <f>SUM(D28:D31)</f>
        <v/>
      </c>
      <c r="E32" s="103">
        <f>SUM(E28:E31)</f>
        <v/>
      </c>
      <c r="F32" s="100">
        <f>E32/D32</f>
        <v/>
      </c>
      <c r="G32" s="100" t="n">
        <v>0.1874869701212953</v>
      </c>
      <c r="H32" s="100">
        <f>F32-G32</f>
        <v/>
      </c>
      <c r="I32" s="104">
        <f>F32/G32</f>
        <v/>
      </c>
      <c r="J32" s="103">
        <f>H32*D32</f>
        <v/>
      </c>
      <c r="K32" s="13" t="n"/>
    </row>
    <row r="33" hidden="1">
      <c r="B33" s="4" t="inlineStr">
        <is>
          <t>5月</t>
        </is>
      </c>
      <c r="C33" s="103" t="n">
        <v>547886460.1029913</v>
      </c>
      <c r="D33" s="103" t="n">
        <v>379551863.390769</v>
      </c>
      <c r="E33" s="103">
        <f>D33*F33</f>
        <v/>
      </c>
      <c r="F33" s="100" t="n">
        <v>0.1922623684469067</v>
      </c>
      <c r="G33" s="100" t="n">
        <v>0.2050649911</v>
      </c>
      <c r="H33" s="100">
        <f>F33-G33</f>
        <v/>
      </c>
      <c r="I33" s="104">
        <f>F33/G33</f>
        <v/>
      </c>
      <c r="J33" s="103">
        <f>D33*H33</f>
        <v/>
      </c>
      <c r="K33" s="13" t="n"/>
      <c r="N33" s="106" t="n"/>
    </row>
    <row r="34" hidden="1">
      <c r="B34" s="4" t="inlineStr">
        <is>
          <t>5月YTD</t>
        </is>
      </c>
      <c r="C34" s="103">
        <f>C32+C33</f>
        <v/>
      </c>
      <c r="D34" s="103">
        <f>D32+D33</f>
        <v/>
      </c>
      <c r="E34" s="103">
        <f>E32+E33</f>
        <v/>
      </c>
      <c r="F34" s="100">
        <f>E34/D34</f>
        <v/>
      </c>
      <c r="G34" s="100" t="n">
        <v>0.1911530163845696</v>
      </c>
      <c r="H34" s="100">
        <f>F34-G34</f>
        <v/>
      </c>
      <c r="I34" s="104">
        <f>F34/G34</f>
        <v/>
      </c>
      <c r="J34" s="103">
        <f>D34*H34</f>
        <v/>
      </c>
      <c r="K34" s="13" t="n"/>
    </row>
    <row r="35" hidden="1">
      <c r="B35" s="4" t="inlineStr">
        <is>
          <t>6月</t>
        </is>
      </c>
      <c r="C35" s="103" t="n">
        <v>400099823.8179032</v>
      </c>
      <c r="D35" s="103" t="n">
        <v>264735399.3403789</v>
      </c>
      <c r="E35" s="103">
        <f>D35*F35</f>
        <v/>
      </c>
      <c r="F35" s="100" t="n">
        <v>0.2040093440076088</v>
      </c>
      <c r="G35" s="100" t="n">
        <v>0.2091475907</v>
      </c>
      <c r="H35" s="100">
        <f>F35-G35</f>
        <v/>
      </c>
      <c r="I35" s="104">
        <f>F35/G35</f>
        <v/>
      </c>
      <c r="J35" s="103">
        <f>D35*H35</f>
        <v/>
      </c>
      <c r="K35" s="13" t="n"/>
    </row>
    <row r="36">
      <c r="B36" s="4" t="inlineStr">
        <is>
          <t>6月YTD</t>
        </is>
      </c>
      <c r="C36" s="103">
        <f>C34+C35</f>
        <v/>
      </c>
      <c r="D36" s="103">
        <f>D34+D35</f>
        <v/>
      </c>
      <c r="E36" s="103">
        <f>E34+E35</f>
        <v/>
      </c>
      <c r="F36" s="100">
        <f>E36/D36</f>
        <v/>
      </c>
      <c r="G36" s="100" t="n">
        <v>0.1935933117580375</v>
      </c>
      <c r="H36" s="100">
        <f>F36-G36</f>
        <v/>
      </c>
      <c r="I36" s="104">
        <f>F36/G36</f>
        <v/>
      </c>
      <c r="J36" s="103">
        <f>D36*H36</f>
        <v/>
      </c>
      <c r="K36" s="13" t="n"/>
    </row>
    <row r="37">
      <c r="B37" s="4" t="inlineStr">
        <is>
          <t>7月MTD</t>
        </is>
      </c>
      <c r="C37" s="103" t="n">
        <v>175660948.884758</v>
      </c>
      <c r="D37" s="103" t="n">
        <v>119512118.629881</v>
      </c>
      <c r="E37" s="103">
        <f>D37*F37</f>
        <v/>
      </c>
      <c r="F37" s="100" t="n">
        <v>0.1986381481621994</v>
      </c>
      <c r="G37" s="100" t="n">
        <v>0.208874994</v>
      </c>
      <c r="H37" s="100">
        <f>F37-G37</f>
        <v/>
      </c>
      <c r="I37" s="104">
        <f>F37/G37</f>
        <v/>
      </c>
      <c r="J37" s="103">
        <f>D37*H37</f>
        <v/>
      </c>
      <c r="K37" s="13" t="inlineStr">
        <is>
          <t>截止16号0点</t>
        </is>
      </c>
    </row>
    <row r="38">
      <c r="B38" s="4" t="inlineStr">
        <is>
          <t>YTD</t>
        </is>
      </c>
      <c r="C38" s="103">
        <f>C36+C37</f>
        <v/>
      </c>
      <c r="D38" s="103">
        <f>D36+D37</f>
        <v/>
      </c>
      <c r="E38" s="103">
        <f>E36+E37</f>
        <v/>
      </c>
      <c r="F38" s="100">
        <f>E38/D38</f>
        <v/>
      </c>
      <c r="G38" s="100">
        <f>F38-(J38/D38)</f>
        <v/>
      </c>
      <c r="H38" s="100">
        <f>F38-G38</f>
        <v/>
      </c>
      <c r="I38" s="104">
        <f>F38/G38</f>
        <v/>
      </c>
      <c r="J38" s="103">
        <f>SUM(J34:J37)</f>
        <v/>
      </c>
    </row>
    <row r="39">
      <c r="B39" s="4" t="inlineStr">
        <is>
          <t>全年目标</t>
        </is>
      </c>
      <c r="C39" s="103">
        <f>C38</f>
        <v/>
      </c>
      <c r="D39" s="103">
        <f>D38</f>
        <v/>
      </c>
      <c r="E39" s="103">
        <f>E38</f>
        <v/>
      </c>
      <c r="F39" s="10">
        <f>F38</f>
        <v/>
      </c>
      <c r="G39" s="100" t="n">
        <v>0.1914701443277041</v>
      </c>
      <c r="H39" s="100">
        <f>F39-G39</f>
        <v/>
      </c>
      <c r="I39" s="104">
        <f>F39/G39</f>
        <v/>
      </c>
      <c r="J39" s="103">
        <f>D39*H39</f>
        <v/>
      </c>
    </row>
    <row r="40">
      <c r="C40" s="106" t="n"/>
      <c r="D40" s="106" t="n"/>
      <c r="E40" s="106" t="n"/>
      <c r="F40" s="19" t="n"/>
      <c r="G40" s="19" t="n"/>
      <c r="J40" s="106" t="n"/>
      <c r="K40" s="13" t="n"/>
    </row>
    <row r="42" ht="13.5" customHeight="1">
      <c r="B42" s="1" t="inlineStr">
        <is>
          <t>外网价指</t>
        </is>
      </c>
      <c r="C42" s="13" t="n"/>
    </row>
    <row r="43" ht="13.5" customHeight="1">
      <c r="B43" s="1" t="inlineStr">
        <is>
          <t>MTD</t>
        </is>
      </c>
      <c r="C43" s="13" t="n"/>
    </row>
    <row r="44" ht="14" customHeight="1">
      <c r="B44" s="81" t="inlineStr">
        <is>
          <t>小组</t>
        </is>
      </c>
      <c r="C44" s="81" t="inlineStr">
        <is>
          <t>考核结果</t>
        </is>
      </c>
      <c r="D44" s="79" t="n"/>
      <c r="E44" s="79" t="n"/>
      <c r="F44" s="79" t="n"/>
      <c r="G44" s="80" t="n"/>
      <c r="H44" s="94" t="inlineStr">
        <is>
          <t>天猫</t>
        </is>
      </c>
      <c r="I44" s="79" t="n"/>
      <c r="J44" s="79" t="n"/>
      <c r="K44" s="80" t="n"/>
      <c r="L44" s="97" t="inlineStr">
        <is>
          <t>抖音</t>
        </is>
      </c>
      <c r="M44" s="79" t="n"/>
      <c r="N44" s="79" t="n"/>
      <c r="O44" s="80" t="n"/>
      <c r="P44" s="13" t="n"/>
    </row>
    <row r="45" ht="27" customHeight="1">
      <c r="B45" s="82" t="n"/>
      <c r="C45" s="81" t="inlineStr">
        <is>
          <t>综合得分</t>
        </is>
      </c>
      <c r="D45" s="81" t="inlineStr">
        <is>
          <t>天猫得分</t>
        </is>
      </c>
      <c r="E45" s="81" t="inlineStr">
        <is>
          <t>抖音得分</t>
        </is>
      </c>
      <c r="F45" s="81" t="inlineStr">
        <is>
          <t>天猫权重</t>
        </is>
      </c>
      <c r="G45" s="81" t="inlineStr">
        <is>
          <t>抖音权重</t>
        </is>
      </c>
      <c r="H45" s="94" t="inlineStr">
        <is>
          <t>价格指数</t>
        </is>
      </c>
      <c r="I45" s="94" t="inlineStr">
        <is>
          <t>对标值</t>
        </is>
      </c>
      <c r="J45" s="5" t="inlineStr">
        <is>
          <t>当前差距
（pp）</t>
        </is>
      </c>
      <c r="K45" s="5" t="inlineStr">
        <is>
          <t>全月目标</t>
        </is>
      </c>
      <c r="L45" s="97" t="inlineStr">
        <is>
          <t>价格指数</t>
        </is>
      </c>
      <c r="M45" s="97" t="inlineStr">
        <is>
          <t>对标值</t>
        </is>
      </c>
      <c r="N45" s="7" t="inlineStr">
        <is>
          <t>当前差距
（pp）</t>
        </is>
      </c>
      <c r="O45" s="7" t="inlineStr">
        <is>
          <t>全月目标</t>
        </is>
      </c>
      <c r="P45" s="13" t="n"/>
    </row>
    <row r="46" ht="13.5" customHeight="1">
      <c r="B46" s="4" t="inlineStr">
        <is>
          <t>珠宝1组</t>
        </is>
      </c>
      <c r="C46" s="107" t="n">
        <v>116.37252</v>
      </c>
      <c r="D46" s="108" t="n">
        <v>120</v>
      </c>
      <c r="E46" s="108" t="n">
        <v>0</v>
      </c>
      <c r="F46" s="6" t="n">
        <v>0.969771</v>
      </c>
      <c r="G46" s="6" t="n">
        <v>0.030229</v>
      </c>
      <c r="H46" s="104" t="n">
        <v>0.793679</v>
      </c>
      <c r="I46" s="104" t="n">
        <v>0.8408039576</v>
      </c>
      <c r="J46" s="14" t="n">
        <v>-4.7125</v>
      </c>
      <c r="K46" s="109" t="n">
        <v>0.820804</v>
      </c>
      <c r="L46" s="104" t="n">
        <v>0.981531</v>
      </c>
      <c r="M46" s="104" t="n">
        <v>0.8408039576</v>
      </c>
      <c r="N46" s="14" t="n">
        <v>14.0727</v>
      </c>
      <c r="O46" s="14" t="n">
        <v>0.851804</v>
      </c>
      <c r="P46" s="13" t="n"/>
    </row>
    <row r="47" ht="13.5" customHeight="1">
      <c r="B47" s="4" t="inlineStr">
        <is>
          <t>珠宝2组</t>
        </is>
      </c>
      <c r="C47" s="107" t="n">
        <v>0</v>
      </c>
      <c r="D47" s="108" t="n">
        <v>0</v>
      </c>
      <c r="E47" s="108" t="n">
        <v>0</v>
      </c>
      <c r="F47" s="6" t="n">
        <v>0.552836</v>
      </c>
      <c r="G47" s="6" t="n">
        <v>0.447164</v>
      </c>
      <c r="H47" s="104" t="n">
        <v>0.862525</v>
      </c>
      <c r="I47" s="104" t="n">
        <v>0.8439207208</v>
      </c>
      <c r="J47" s="14" t="n">
        <v>1.8604</v>
      </c>
      <c r="K47" s="109" t="n">
        <v>0.823921</v>
      </c>
      <c r="L47" s="104" t="n">
        <v>0.949715</v>
      </c>
      <c r="M47" s="104" t="n">
        <v>0.8439207208</v>
      </c>
      <c r="N47" s="14" t="n">
        <v>10.5794</v>
      </c>
      <c r="O47" s="14" t="n">
        <v>0.854921</v>
      </c>
      <c r="P47" s="13" t="n"/>
    </row>
    <row r="48" ht="13.5" customHeight="1">
      <c r="B48" s="4" t="inlineStr">
        <is>
          <t>珠宝3组</t>
        </is>
      </c>
      <c r="C48" s="107" t="n">
        <v>120</v>
      </c>
      <c r="D48" s="108" t="n">
        <v>120</v>
      </c>
      <c r="E48" s="108" t="n">
        <v>120</v>
      </c>
      <c r="F48" s="6" t="n">
        <v>0.918307</v>
      </c>
      <c r="G48" s="6" t="n">
        <v>0.081693</v>
      </c>
      <c r="H48" s="104" t="n">
        <v>0.7451410000000001</v>
      </c>
      <c r="I48" s="104" t="n">
        <v>0.777447231</v>
      </c>
      <c r="J48" s="14" t="n">
        <v>-3.2306</v>
      </c>
      <c r="K48" s="109" t="n">
        <v>0.757447</v>
      </c>
      <c r="L48" s="104" t="n">
        <v>0.727641</v>
      </c>
      <c r="M48" s="104" t="n">
        <v>0.777447231</v>
      </c>
      <c r="N48" s="14" t="n">
        <v>-4.9806</v>
      </c>
      <c r="O48" s="14" t="n">
        <v>0.788447</v>
      </c>
      <c r="P48" s="13" t="n"/>
    </row>
    <row r="49" ht="13.5" customHeight="1">
      <c r="B49" s="4" t="inlineStr">
        <is>
          <t>饰品1组</t>
        </is>
      </c>
      <c r="C49" s="107" t="n">
        <v>87.086004192</v>
      </c>
      <c r="D49" s="108" t="n">
        <v>99.396</v>
      </c>
      <c r="E49" s="108" t="n">
        <v>0</v>
      </c>
      <c r="F49" s="6" t="n">
        <v>0.876152</v>
      </c>
      <c r="G49" s="6" t="n">
        <v>0.123848</v>
      </c>
      <c r="H49" s="104" t="n">
        <v>0.809742</v>
      </c>
      <c r="I49" s="104" t="n">
        <v>0.8296242895</v>
      </c>
      <c r="J49" s="14" t="n">
        <v>-1.9882</v>
      </c>
      <c r="K49" s="109" t="n">
        <v>0.809624</v>
      </c>
      <c r="L49" s="104" t="n">
        <v>0.869915</v>
      </c>
      <c r="M49" s="104" t="n">
        <v>0.8296242895</v>
      </c>
      <c r="N49" s="14" t="n">
        <v>4.0291</v>
      </c>
      <c r="O49" s="14" t="n">
        <v>0.840624</v>
      </c>
      <c r="P49" s="13" t="n"/>
    </row>
    <row r="50" ht="13.5" customHeight="1">
      <c r="B50" s="4" t="inlineStr">
        <is>
          <t>饰品2组</t>
        </is>
      </c>
      <c r="C50" s="107" t="n">
        <v>0</v>
      </c>
      <c r="D50" s="108" t="n">
        <v>0</v>
      </c>
      <c r="E50" s="108" t="n">
        <v>0</v>
      </c>
      <c r="F50" s="6" t="n">
        <v>0.819269</v>
      </c>
      <c r="G50" s="6" t="n">
        <v>0.180731</v>
      </c>
      <c r="H50" s="104" t="n">
        <v>0.888065</v>
      </c>
      <c r="I50" s="104" t="n">
        <v>0.8344423592</v>
      </c>
      <c r="J50" s="14" t="n">
        <v>5.3623</v>
      </c>
      <c r="K50" s="109" t="n">
        <v>0.814442</v>
      </c>
      <c r="L50" s="104" t="n">
        <v>0.886522</v>
      </c>
      <c r="M50" s="104" t="n">
        <v>0.8344423592</v>
      </c>
      <c r="N50" s="14" t="n">
        <v>5.208</v>
      </c>
      <c r="O50" s="14" t="n">
        <v>0.845442</v>
      </c>
      <c r="P50" s="13" t="n"/>
    </row>
    <row r="51" ht="13.5" customHeight="1">
      <c r="B51" s="4" t="inlineStr">
        <is>
          <t>海淘组</t>
        </is>
      </c>
      <c r="C51" s="107" t="n">
        <v>120</v>
      </c>
      <c r="D51" s="108" t="n">
        <v>120</v>
      </c>
      <c r="E51" s="108" t="inlineStr">
        <is>
          <t>(NULL)</t>
        </is>
      </c>
      <c r="F51" s="6" t="n">
        <v>1</v>
      </c>
      <c r="G51" s="6" t="n">
        <v>0</v>
      </c>
      <c r="H51" s="104" t="n">
        <v>0.733507</v>
      </c>
      <c r="I51" s="104" t="n">
        <v>0.8567400971</v>
      </c>
      <c r="J51" s="14" t="n">
        <v>-12.3233</v>
      </c>
      <c r="K51" s="109" t="n">
        <v>0.83674</v>
      </c>
      <c r="L51" s="104" t="inlineStr">
        <is>
          <t>(NULL)</t>
        </is>
      </c>
      <c r="M51" s="104" t="n">
        <v>0.8567400971</v>
      </c>
      <c r="N51" s="14" t="inlineStr">
        <is>
          <t>(NULL)</t>
        </is>
      </c>
      <c r="O51" s="14" t="n">
        <v>0.86774</v>
      </c>
      <c r="P51" s="13" t="n"/>
    </row>
    <row r="52" ht="13.5" customHeight="1">
      <c r="B52" s="4" t="inlineStr">
        <is>
          <t>总</t>
        </is>
      </c>
      <c r="C52" s="110" t="n">
        <v>61.075487008</v>
      </c>
      <c r="D52" s="111" t="n">
        <v>69.968</v>
      </c>
      <c r="E52" s="111" t="n">
        <v>0</v>
      </c>
      <c r="F52" s="6" t="n">
        <v>0.872906</v>
      </c>
      <c r="G52" s="6" t="n">
        <v>0.127094</v>
      </c>
      <c r="H52" s="104" t="n">
        <v>0.819148</v>
      </c>
      <c r="I52" s="104" t="n">
        <v>0.8244032635</v>
      </c>
      <c r="J52" s="14" t="n">
        <v>-0.5255</v>
      </c>
      <c r="K52" s="109" t="n">
        <v>0.804403</v>
      </c>
      <c r="L52" s="104" t="n">
        <v>0.866634</v>
      </c>
      <c r="M52" s="104" t="n">
        <v>0.8244032635</v>
      </c>
      <c r="N52" s="14" t="n">
        <v>4.2231</v>
      </c>
      <c r="O52" s="14" t="n">
        <v>0.835403</v>
      </c>
      <c r="P52" s="13" t="n"/>
    </row>
    <row r="54" ht="13.5" customHeight="1">
      <c r="B54" s="1" t="inlineStr">
        <is>
          <t>历史月份得分</t>
        </is>
      </c>
    </row>
    <row r="55" ht="13.5" customHeight="1">
      <c r="B55" s="81" t="inlineStr">
        <is>
          <t>小组</t>
        </is>
      </c>
      <c r="C55" s="81" t="inlineStr">
        <is>
          <t>YTD</t>
        </is>
      </c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80" t="n"/>
      <c r="N55" s="87" t="inlineStr">
        <is>
          <t>1月</t>
        </is>
      </c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80" t="n"/>
      <c r="Y55" s="81" t="inlineStr">
        <is>
          <t>2月</t>
        </is>
      </c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80" t="n"/>
      <c r="AJ55" s="87" t="inlineStr">
        <is>
          <t>3月</t>
        </is>
      </c>
      <c r="AK55" s="79" t="n"/>
      <c r="AL55" s="79" t="n"/>
      <c r="AM55" s="79" t="n"/>
      <c r="AN55" s="79" t="n"/>
      <c r="AO55" s="79" t="n"/>
      <c r="AP55" s="79" t="n"/>
      <c r="AQ55" s="79" t="n"/>
      <c r="AR55" s="79" t="n"/>
      <c r="AS55" s="79" t="n"/>
      <c r="AT55" s="80" t="n"/>
      <c r="AU55" s="81" t="inlineStr">
        <is>
          <t>4月</t>
        </is>
      </c>
      <c r="AV55" s="79" t="n"/>
      <c r="AW55" s="79" t="n"/>
      <c r="AX55" s="79" t="n"/>
      <c r="AY55" s="79" t="n"/>
      <c r="AZ55" s="79" t="n"/>
      <c r="BA55" s="79" t="n"/>
      <c r="BB55" s="79" t="n"/>
      <c r="BC55" s="79" t="n"/>
      <c r="BD55" s="79" t="n"/>
      <c r="BE55" s="80" t="n"/>
      <c r="BF55" s="87" t="inlineStr">
        <is>
          <t>5月</t>
        </is>
      </c>
      <c r="BG55" s="79" t="n"/>
      <c r="BH55" s="79" t="n"/>
      <c r="BI55" s="79" t="n"/>
      <c r="BJ55" s="79" t="n"/>
      <c r="BK55" s="79" t="n"/>
      <c r="BL55" s="79" t="n"/>
      <c r="BM55" s="79" t="n"/>
      <c r="BN55" s="79" t="n"/>
      <c r="BO55" s="79" t="n"/>
      <c r="BP55" s="80" t="n"/>
      <c r="BQ55" s="81" t="inlineStr">
        <is>
          <t>6月</t>
        </is>
      </c>
      <c r="BR55" s="79" t="n"/>
      <c r="BS55" s="79" t="n"/>
      <c r="BT55" s="79" t="n"/>
      <c r="BU55" s="79" t="n"/>
      <c r="BV55" s="79" t="n"/>
      <c r="BW55" s="79" t="n"/>
      <c r="BX55" s="79" t="n"/>
      <c r="BY55" s="79" t="n"/>
      <c r="BZ55" s="79" t="n"/>
      <c r="CA55" s="80" t="n"/>
    </row>
    <row r="56" ht="27" customFormat="1" customHeight="1" s="9">
      <c r="B56" s="82" t="n"/>
      <c r="C56" s="88" t="inlineStr">
        <is>
          <t>综合得分</t>
        </is>
      </c>
      <c r="D56" s="88" t="inlineStr">
        <is>
          <t>天猫得分</t>
        </is>
      </c>
      <c r="E56" s="81" t="inlineStr">
        <is>
          <t>抖音得分</t>
        </is>
      </c>
      <c r="F56" s="88" t="inlineStr">
        <is>
          <t>天猫权重</t>
        </is>
      </c>
      <c r="G56" s="88" t="inlineStr">
        <is>
          <t>抖音权重</t>
        </is>
      </c>
      <c r="H56" s="88" t="inlineStr">
        <is>
          <t>天猫价指</t>
        </is>
      </c>
      <c r="I56" s="88" t="inlineStr">
        <is>
          <t>天猫目标</t>
        </is>
      </c>
      <c r="J56" s="88" t="inlineStr">
        <is>
          <t>天猫降幅</t>
        </is>
      </c>
      <c r="K56" s="88" t="inlineStr">
        <is>
          <t>抖音价指</t>
        </is>
      </c>
      <c r="L56" s="88" t="inlineStr">
        <is>
          <t>抖音目标</t>
        </is>
      </c>
      <c r="M56" s="88" t="inlineStr">
        <is>
          <t>抖音降幅</t>
        </is>
      </c>
      <c r="N56" s="91" t="inlineStr">
        <is>
          <t>综合得分</t>
        </is>
      </c>
      <c r="O56" s="91" t="inlineStr">
        <is>
          <t>天猫价指</t>
        </is>
      </c>
      <c r="P56" s="91" t="inlineStr">
        <is>
          <t>对标值</t>
        </is>
      </c>
      <c r="Q56" s="91" t="inlineStr">
        <is>
          <t>天猫降幅</t>
        </is>
      </c>
      <c r="R56" s="91" t="inlineStr">
        <is>
          <t>抖音价指</t>
        </is>
      </c>
      <c r="S56" s="91" t="inlineStr">
        <is>
          <t>对标值</t>
        </is>
      </c>
      <c r="T56" s="91" t="inlineStr">
        <is>
          <t>抖音降幅</t>
        </is>
      </c>
      <c r="U56" s="91" t="inlineStr">
        <is>
          <t>天猫外网加总</t>
        </is>
      </c>
      <c r="V56" s="91" t="inlineStr">
        <is>
          <t>抖音外网加总</t>
        </is>
      </c>
      <c r="W56" s="91" t="inlineStr">
        <is>
          <t>天猫权重</t>
        </is>
      </c>
      <c r="X56" s="91" t="inlineStr">
        <is>
          <t>抖音权重</t>
        </is>
      </c>
      <c r="Y56" s="88" t="inlineStr">
        <is>
          <t>综合得分</t>
        </is>
      </c>
      <c r="Z56" s="88" t="inlineStr">
        <is>
          <t>天猫价指</t>
        </is>
      </c>
      <c r="AA56" s="88" t="inlineStr">
        <is>
          <t>对标值</t>
        </is>
      </c>
      <c r="AB56" s="88" t="inlineStr">
        <is>
          <t>天猫降幅</t>
        </is>
      </c>
      <c r="AC56" s="88" t="inlineStr">
        <is>
          <t>抖音价指</t>
        </is>
      </c>
      <c r="AD56" s="88" t="inlineStr">
        <is>
          <t>对标值</t>
        </is>
      </c>
      <c r="AE56" s="88" t="inlineStr">
        <is>
          <t>抖音降幅</t>
        </is>
      </c>
      <c r="AF56" s="88" t="inlineStr">
        <is>
          <t>天猫外网加总</t>
        </is>
      </c>
      <c r="AG56" s="88" t="inlineStr">
        <is>
          <t>抖音外网加总</t>
        </is>
      </c>
      <c r="AH56" s="88" t="inlineStr">
        <is>
          <t>天猫权重</t>
        </is>
      </c>
      <c r="AI56" s="88" t="inlineStr">
        <is>
          <t>抖音权重</t>
        </is>
      </c>
      <c r="AJ56" s="91" t="inlineStr">
        <is>
          <t>综合得分</t>
        </is>
      </c>
      <c r="AK56" s="91" t="inlineStr">
        <is>
          <t>天猫价指</t>
        </is>
      </c>
      <c r="AL56" s="91" t="inlineStr">
        <is>
          <t>对标值</t>
        </is>
      </c>
      <c r="AM56" s="91" t="inlineStr">
        <is>
          <t>天猫降幅</t>
        </is>
      </c>
      <c r="AN56" s="91" t="inlineStr">
        <is>
          <t>抖音价指</t>
        </is>
      </c>
      <c r="AO56" s="91" t="inlineStr">
        <is>
          <t>对标值</t>
        </is>
      </c>
      <c r="AP56" s="91" t="inlineStr">
        <is>
          <t>抖音降幅</t>
        </is>
      </c>
      <c r="AQ56" s="91" t="inlineStr">
        <is>
          <t>天猫外网加总</t>
        </is>
      </c>
      <c r="AR56" s="91" t="inlineStr">
        <is>
          <t>抖音外网加总</t>
        </is>
      </c>
      <c r="AS56" s="91" t="inlineStr">
        <is>
          <t>天猫权重</t>
        </is>
      </c>
      <c r="AT56" s="91" t="inlineStr">
        <is>
          <t>抖音权重</t>
        </is>
      </c>
      <c r="AU56" s="88" t="inlineStr">
        <is>
          <t>综合得分</t>
        </is>
      </c>
      <c r="AV56" s="88" t="inlineStr">
        <is>
          <t>天猫价指</t>
        </is>
      </c>
      <c r="AW56" s="88" t="inlineStr">
        <is>
          <t>对标值</t>
        </is>
      </c>
      <c r="AX56" s="88" t="inlineStr">
        <is>
          <t>天猫降幅</t>
        </is>
      </c>
      <c r="AY56" s="88" t="inlineStr">
        <is>
          <t>抖音价指</t>
        </is>
      </c>
      <c r="AZ56" s="88" t="inlineStr">
        <is>
          <t>对标值</t>
        </is>
      </c>
      <c r="BA56" s="88" t="inlineStr">
        <is>
          <t>抖音降幅</t>
        </is>
      </c>
      <c r="BB56" s="88" t="inlineStr">
        <is>
          <t>天猫外网加总</t>
        </is>
      </c>
      <c r="BC56" s="88" t="inlineStr">
        <is>
          <t>抖音外网加总</t>
        </is>
      </c>
      <c r="BD56" s="88" t="inlineStr">
        <is>
          <t>天猫权重</t>
        </is>
      </c>
      <c r="BE56" s="88" t="inlineStr">
        <is>
          <t>抖音权重</t>
        </is>
      </c>
      <c r="BF56" s="91" t="inlineStr">
        <is>
          <t>综合得分</t>
        </is>
      </c>
      <c r="BG56" s="91" t="inlineStr">
        <is>
          <t>天猫价指</t>
        </is>
      </c>
      <c r="BH56" s="91" t="inlineStr">
        <is>
          <t>对标值</t>
        </is>
      </c>
      <c r="BI56" s="91" t="inlineStr">
        <is>
          <t>天猫降幅</t>
        </is>
      </c>
      <c r="BJ56" s="91" t="inlineStr">
        <is>
          <t>抖音价指</t>
        </is>
      </c>
      <c r="BK56" s="91" t="inlineStr">
        <is>
          <t>对标值</t>
        </is>
      </c>
      <c r="BL56" s="91" t="inlineStr">
        <is>
          <t>抖音降幅</t>
        </is>
      </c>
      <c r="BM56" s="91" t="inlineStr">
        <is>
          <t>天猫外网加总</t>
        </is>
      </c>
      <c r="BN56" s="91" t="inlineStr">
        <is>
          <t>抖音外网加总</t>
        </is>
      </c>
      <c r="BO56" s="91" t="inlineStr">
        <is>
          <t>天猫权重</t>
        </is>
      </c>
      <c r="BP56" s="91" t="inlineStr">
        <is>
          <t>抖音权重</t>
        </is>
      </c>
      <c r="BQ56" s="88" t="inlineStr">
        <is>
          <t>综合得分</t>
        </is>
      </c>
      <c r="BR56" s="88" t="inlineStr">
        <is>
          <t>天猫价指</t>
        </is>
      </c>
      <c r="BS56" s="88" t="inlineStr">
        <is>
          <t>对标值</t>
        </is>
      </c>
      <c r="BT56" s="88" t="inlineStr">
        <is>
          <t>天猫降幅</t>
        </is>
      </c>
      <c r="BU56" s="88" t="inlineStr">
        <is>
          <t>抖音价指</t>
        </is>
      </c>
      <c r="BV56" s="88" t="inlineStr">
        <is>
          <t>对标值</t>
        </is>
      </c>
      <c r="BW56" s="88" t="inlineStr">
        <is>
          <t>抖音降幅</t>
        </is>
      </c>
      <c r="BX56" s="88" t="inlineStr">
        <is>
          <t>天猫外网加总</t>
        </is>
      </c>
      <c r="BY56" s="88" t="inlineStr">
        <is>
          <t>抖音外网加总</t>
        </is>
      </c>
      <c r="BZ56" s="88" t="inlineStr">
        <is>
          <t>天猫权重</t>
        </is>
      </c>
      <c r="CA56" s="88" t="inlineStr">
        <is>
          <t>抖音权重</t>
        </is>
      </c>
    </row>
    <row r="57" ht="13.5" customHeight="1">
      <c r="B57" s="4" t="inlineStr">
        <is>
          <t>珠宝1组</t>
        </is>
      </c>
      <c r="C57" s="112">
        <f>AVERAGE(C46,N57,Y57,AJ57,AU57,BF57,BQ57)</f>
        <v/>
      </c>
      <c r="D57" s="108">
        <f>IF((J57/(-2)*40+60)&gt;120,120,IF(J57&gt;0,0,(J57/(-2)*40+60)))</f>
        <v/>
      </c>
      <c r="E57" s="108">
        <f>IFERROR(IF((M57/(-2)*40+60)&gt;120,120,IF(M57&gt;0,0,(M57/(-2)*40+60))),"(NULL)")</f>
        <v/>
      </c>
      <c r="F57" s="113">
        <f>SUM(U57,AF57,AQ57,BB57,BM57,BX57)/SUM(U57:V57,AF57:AG57,AQ57:AR57,BB57:BC57,BM57:BN57,BX57:BY57)</f>
        <v/>
      </c>
      <c r="G57" s="104">
        <f>1-F57</f>
        <v/>
      </c>
      <c r="H57" s="113">
        <f>AVERAGE(H46,O57,Z57,AK57,AV57,BG57,BR57)</f>
        <v/>
      </c>
      <c r="I57" s="113">
        <f>AVERAGE(I46-2%,P57-2%,AA57-2%,AL57-2%,AW57-2%,BH57-2%,BS57-2%)</f>
        <v/>
      </c>
      <c r="J57" s="14">
        <f>(H57-I57)*100</f>
        <v/>
      </c>
      <c r="K57" s="113">
        <f>IFERROR(AVERAGE(L46,R57,AC57,AN57,AY57,BJ57,BU57),"(NULL)")</f>
        <v/>
      </c>
      <c r="L57" s="113">
        <f>AVERAGE(M46-2%,S57-2%,AD57-2%,AO57-2%,AZ57-2%,BK57-2%,BV57-2%)</f>
        <v/>
      </c>
      <c r="M57" s="14">
        <f>IFERROR(((K57-L57)*100),"(NULL)")</f>
        <v/>
      </c>
      <c r="N57" s="107" t="n">
        <v>71.88514375897005</v>
      </c>
      <c r="O57" s="104" t="n">
        <v>0.7891820644019416</v>
      </c>
      <c r="P57" s="104" t="n">
        <v>0.7957432164546526</v>
      </c>
      <c r="Q57" s="14" t="n">
        <v>-0.6561152052711066</v>
      </c>
      <c r="R57" s="104" t="n">
        <v>1.002006069443117</v>
      </c>
      <c r="S57" s="104" t="n">
        <v>0.8264432164546526</v>
      </c>
      <c r="T57" s="14" t="n">
        <v>17.55628529884649</v>
      </c>
      <c r="U57" s="103" t="n">
        <v>5874595.52</v>
      </c>
      <c r="V57" s="103" t="n">
        <v>101103.18</v>
      </c>
      <c r="W57" s="104">
        <f>U57/(U57+V57)</f>
        <v/>
      </c>
      <c r="X57" s="104">
        <f>1-W57</f>
        <v/>
      </c>
      <c r="Y57" s="107" t="n">
        <v>0</v>
      </c>
      <c r="Z57" s="104" t="n">
        <v>0.8291055645520575</v>
      </c>
      <c r="AA57" s="104" t="n">
        <v>0.7781559328907359</v>
      </c>
      <c r="AB57" s="14" t="n">
        <v>5.09496316613216</v>
      </c>
      <c r="AC57" s="104" t="n">
        <v>0.978200506946804</v>
      </c>
      <c r="AD57" s="104" t="n">
        <v>0.8088559328907359</v>
      </c>
      <c r="AE57" s="14" t="n">
        <v>16.93445740560682</v>
      </c>
      <c r="AF57" s="103" t="n">
        <v>3014171.46</v>
      </c>
      <c r="AG57" s="103" t="n">
        <v>133252.64</v>
      </c>
      <c r="AH57" s="104">
        <f>AF57/(AF57+AG57)</f>
        <v/>
      </c>
      <c r="AI57" s="104">
        <f>1-AH57</f>
        <v/>
      </c>
      <c r="AJ57" s="107" t="n">
        <v>0</v>
      </c>
      <c r="AK57" s="104" t="n">
        <v>0.8009145071405928</v>
      </c>
      <c r="AL57" s="104" t="n">
        <v>0.8005634565343691</v>
      </c>
      <c r="AM57" s="14" t="n">
        <v>0.03510506062237084</v>
      </c>
      <c r="AN57" s="104" t="n">
        <v>0.9995729555103466</v>
      </c>
      <c r="AO57" s="104" t="n">
        <v>0.8312634565343689</v>
      </c>
      <c r="AP57" s="14" t="n">
        <v>16.83094989759776</v>
      </c>
      <c r="AQ57" s="103" t="n">
        <v>6718055.8</v>
      </c>
      <c r="AR57" s="103" t="n">
        <v>247187.36</v>
      </c>
      <c r="AS57" s="104" t="n">
        <v>0.964511</v>
      </c>
      <c r="AT57" s="104" t="n">
        <v>0.035489</v>
      </c>
      <c r="AU57" s="107" t="n">
        <v>118.14792</v>
      </c>
      <c r="AV57" s="104" t="n">
        <v>0.7523192488666877</v>
      </c>
      <c r="AW57" s="104" t="n">
        <v>0.8193159998572752</v>
      </c>
      <c r="AX57" s="14" t="n">
        <v>-6.699675099058751</v>
      </c>
      <c r="AY57" s="104" t="n">
        <v>0.9874432047298037</v>
      </c>
      <c r="AZ57" s="104" t="n">
        <v>0.8500159998572751</v>
      </c>
      <c r="BA57" s="14" t="n">
        <v>13.74272048725287</v>
      </c>
      <c r="BB57" s="103" t="n">
        <v>10213251.73</v>
      </c>
      <c r="BC57" s="103" t="n">
        <v>160101.36</v>
      </c>
      <c r="BD57" s="104" t="n">
        <v>0.9845660000000001</v>
      </c>
      <c r="BE57" s="104" t="n">
        <v>0.015434</v>
      </c>
      <c r="BF57" s="107" t="n">
        <v>68.57757623457439</v>
      </c>
      <c r="BG57" s="104" t="n">
        <v>0.7811506594384232</v>
      </c>
      <c r="BH57" s="104" t="n">
        <v>0.7863283526863935</v>
      </c>
      <c r="BI57" s="14" t="n">
        <v>-0.5177693247970154</v>
      </c>
      <c r="BJ57" s="104" t="n">
        <v>0.8939227593952338</v>
      </c>
      <c r="BK57" s="104" t="n">
        <v>0.8170283526863933</v>
      </c>
      <c r="BL57" s="14" t="n">
        <v>7.689440670884053</v>
      </c>
      <c r="BM57" s="103" t="n">
        <v>345903.04</v>
      </c>
      <c r="BN57" s="103" t="n">
        <v>13342925.88</v>
      </c>
      <c r="BO57" s="104" t="n">
        <v>0.974731</v>
      </c>
      <c r="BP57" s="104" t="n">
        <v>0.025269</v>
      </c>
      <c r="BQ57" s="107" t="n">
        <v>106.16984274</v>
      </c>
      <c r="BR57" s="104" t="n">
        <v>0.762539</v>
      </c>
      <c r="BS57" s="104" t="n">
        <v>0.7869699999999999</v>
      </c>
      <c r="BT57" s="14" t="n">
        <v>-2.4431</v>
      </c>
      <c r="BU57" s="104" t="n">
        <v>0.905986</v>
      </c>
      <c r="BV57" s="104" t="n">
        <v>0.81767</v>
      </c>
      <c r="BW57" s="14" t="n">
        <v>8.831600000000009</v>
      </c>
      <c r="BX57" s="103" t="n">
        <v>16581446.99</v>
      </c>
      <c r="BY57" s="103" t="n">
        <v>420450.36</v>
      </c>
      <c r="BZ57" s="104" t="n">
        <v>0.97527</v>
      </c>
      <c r="CA57" s="104" t="n">
        <v>0.02473</v>
      </c>
    </row>
    <row r="58" ht="13.5" customHeight="1">
      <c r="B58" s="4" t="inlineStr">
        <is>
          <t>珠宝2组</t>
        </is>
      </c>
      <c r="C58" s="112">
        <f>AVERAGE(C47,N58,Y58,AJ58,AU58,BF58,BQ58)</f>
        <v/>
      </c>
      <c r="D58" s="108">
        <f>IF((J58/(-2)*40+60)&gt;120,120,IF(J58&gt;0,0,(J58/(-2)*40+60)))</f>
        <v/>
      </c>
      <c r="E58" s="108">
        <f>IFERROR(IF((M58/(-2)*40+60)&gt;120,120,IF(M58&gt;0,0,(M58/(-2)*40+60))),"(NULL)")</f>
        <v/>
      </c>
      <c r="F58" s="113">
        <f>SUM(U58,AF58,AQ58,BB58,BM58,BX58)/SUM(U58:V58,AF58:AG58,AQ58:AR58,BB58:BC58,BM58:BN58,BX58:BY58)</f>
        <v/>
      </c>
      <c r="G58" s="104">
        <f>1-F58</f>
        <v/>
      </c>
      <c r="H58" s="113">
        <f>AVERAGE(H47,O58,Z58,AK58,AV58,BG58,BR58)</f>
        <v/>
      </c>
      <c r="I58" s="113">
        <f>AVERAGE(I47-2%,P58-2%,AA58-2%,AL58-2%,AW58-2%,BH58-2%,BS58-2%)</f>
        <v/>
      </c>
      <c r="J58" s="14">
        <f>(H58-I58)*100</f>
        <v/>
      </c>
      <c r="K58" s="113">
        <f>IFERROR(AVERAGE(L47,R58,AC58,AN58,AY58,BJ58,BU58),"(NULL)")</f>
        <v/>
      </c>
      <c r="L58" s="113">
        <f>AVERAGE(M47-2%,S58-2%,AD58-2%,AO58-2%,AZ58-2%,BK58-2%,BV58-2%)</f>
        <v/>
      </c>
      <c r="M58" s="14">
        <f>IFERROR(((K58-L58)*100),"(NULL)")</f>
        <v/>
      </c>
      <c r="N58" s="107" t="n">
        <v>119.3353762672485</v>
      </c>
      <c r="O58" s="104" t="n">
        <v>0.7575331821825106</v>
      </c>
      <c r="P58" s="104" t="n">
        <v>0.8085867317712854</v>
      </c>
      <c r="Q58" s="14" t="n">
        <v>-5.10535495887747</v>
      </c>
      <c r="R58" s="104" t="n">
        <v>0.9836240310077519</v>
      </c>
      <c r="S58" s="104" t="n">
        <v>0.8392867317712853</v>
      </c>
      <c r="T58" s="14" t="n">
        <v>14.43372992364665</v>
      </c>
      <c r="U58" s="103" t="n">
        <v>259418.59</v>
      </c>
      <c r="V58" s="103" t="n">
        <v>1444.8</v>
      </c>
      <c r="W58" s="104">
        <f>U58/(U58+V58)</f>
        <v/>
      </c>
      <c r="X58" s="104">
        <f>1-W58</f>
        <v/>
      </c>
      <c r="Y58" s="107" t="n">
        <v>120</v>
      </c>
      <c r="Z58" s="104" t="n">
        <v>0.7518515036881487</v>
      </c>
      <c r="AA58" s="104" t="n">
        <v>0.8040893221428073</v>
      </c>
      <c r="AB58" s="14" t="n">
        <v>-5.223781845465851</v>
      </c>
      <c r="AC58" s="104" t="n">
        <v>0.4154727793696275</v>
      </c>
      <c r="AD58" s="104" t="n">
        <v>0.8347893221428072</v>
      </c>
      <c r="AE58" s="14" t="n">
        <v>-41.93165427731797</v>
      </c>
      <c r="AF58" s="103" t="n">
        <v>65954.5</v>
      </c>
      <c r="AG58" s="103" t="n">
        <v>349</v>
      </c>
      <c r="AH58" s="104">
        <f>AF58/(AF58+AG58)</f>
        <v/>
      </c>
      <c r="AI58" s="104">
        <f>1-AH58</f>
        <v/>
      </c>
      <c r="AJ58" s="107" t="n">
        <v>120</v>
      </c>
      <c r="AK58" s="104" t="n">
        <v>0.7560282752907623</v>
      </c>
      <c r="AL58" s="104" t="n">
        <v>0.7910813977574286</v>
      </c>
      <c r="AM58" s="14" t="n">
        <v>-3.50531224666662</v>
      </c>
      <c r="AN58" s="104" t="n">
        <v>0.6888608250760961</v>
      </c>
      <c r="AO58" s="104" t="n">
        <v>0.8217813977574285</v>
      </c>
      <c r="AP58" s="14" t="n">
        <v>-13.29205726813323</v>
      </c>
      <c r="AQ58" s="103" t="n">
        <v>182038.8</v>
      </c>
      <c r="AR58" s="103" t="n">
        <v>7720.5</v>
      </c>
      <c r="AS58" s="104" t="n">
        <v>0.959314</v>
      </c>
      <c r="AT58" s="104" t="n">
        <v>0.040686</v>
      </c>
      <c r="AU58" s="107" t="n">
        <v>120</v>
      </c>
      <c r="AV58" s="104" t="n">
        <v>0.7147807544464481</v>
      </c>
      <c r="AW58" s="104" t="n">
        <v>0.8221074692952817</v>
      </c>
      <c r="AX58" s="14" t="n">
        <v>-10.73267148488337</v>
      </c>
      <c r="AY58" s="104" t="n">
        <v>0.7414226397035857</v>
      </c>
      <c r="AZ58" s="104" t="n">
        <v>0.8528074692952816</v>
      </c>
      <c r="BA58" s="14" t="n">
        <v>-11.13848295916959</v>
      </c>
      <c r="BB58" s="103" t="n">
        <v>16347.88</v>
      </c>
      <c r="BC58" s="103" t="n">
        <v>13958.84</v>
      </c>
      <c r="BD58" s="104" t="n">
        <v>0.5394139999999999</v>
      </c>
      <c r="BE58" s="104" t="n">
        <v>0.460586</v>
      </c>
      <c r="BF58" s="107" t="n">
        <v>103.99008</v>
      </c>
      <c r="BG58" s="104" t="n">
        <v>0.7021749202204698</v>
      </c>
      <c r="BH58" s="104" t="n">
        <v>0.78244737318951</v>
      </c>
      <c r="BI58" s="14" t="n">
        <v>-8.027245296904013</v>
      </c>
      <c r="BJ58" s="104" t="n">
        <v>0.878104824896572</v>
      </c>
      <c r="BK58" s="104" t="n">
        <v>0.8131473731895099</v>
      </c>
      <c r="BL58" s="14" t="n">
        <v>6.495745170706215</v>
      </c>
      <c r="BM58" s="103" t="n">
        <v>18974.5</v>
      </c>
      <c r="BN58" s="103" t="n">
        <v>123245.9</v>
      </c>
      <c r="BO58" s="104" t="n">
        <v>0.866584</v>
      </c>
      <c r="BP58" s="104" t="n">
        <v>0.133416</v>
      </c>
      <c r="BQ58" s="107" t="n">
        <v>0</v>
      </c>
      <c r="BR58" s="104" t="n">
        <v>0.855515</v>
      </c>
      <c r="BS58" s="104" t="n">
        <v>0.807437</v>
      </c>
      <c r="BT58" s="14" t="n">
        <v>4.8078</v>
      </c>
      <c r="BU58" s="104" t="n">
        <v>0.952708</v>
      </c>
      <c r="BV58" s="104" t="n">
        <v>0.838137</v>
      </c>
      <c r="BW58" s="14" t="n">
        <v>11.4571</v>
      </c>
      <c r="BX58" s="103" t="n">
        <v>230547.1</v>
      </c>
      <c r="BY58" s="103" t="n">
        <v>87114.45</v>
      </c>
      <c r="BZ58" s="104" t="n">
        <v>0.725763</v>
      </c>
      <c r="CA58" s="104" t="n">
        <v>0.274237</v>
      </c>
    </row>
    <row r="59" ht="13.5" customHeight="1">
      <c r="B59" s="4" t="inlineStr">
        <is>
          <t>珠宝3组</t>
        </is>
      </c>
      <c r="C59" s="112">
        <f>AVERAGE(C48,N59,Y59,AJ59,AU59,BF59,BQ59)</f>
        <v/>
      </c>
      <c r="D59" s="108">
        <f>IF((J59/(-2)*40+60)&gt;120,120,IF(J59&gt;0,0,(J59/(-2)*40+60)))</f>
        <v/>
      </c>
      <c r="E59" s="108">
        <f>IFERROR(IF((M59/(-2)*40+60)&gt;120,120,IF(M59&gt;0,0,(M59/(-2)*40+60))),"(NULL)")</f>
        <v/>
      </c>
      <c r="F59" s="113">
        <f>SUM(U59,AF59,AQ59,BB59,BM59,BX59)/SUM(U59:V59,AF59:AG59,AQ59:AR59,BB59:BC59,BM59:BN59,BX59:BY59)</f>
        <v/>
      </c>
      <c r="G59" s="104">
        <f>1-F59</f>
        <v/>
      </c>
      <c r="H59" s="113">
        <f>AVERAGE(H48,O59,Z59,AK59,AV59,BG59,BR59)</f>
        <v/>
      </c>
      <c r="I59" s="113">
        <f>AVERAGE(I48-2%,P59-2%,AA59-2%,AL59-2%,AW59-2%,BH59-2%,BS59-2%)</f>
        <v/>
      </c>
      <c r="J59" s="14">
        <f>(H59-I59)*100</f>
        <v/>
      </c>
      <c r="K59" s="113">
        <f>IFERROR(AVERAGE(L48,R59,AC59,AN59,AY59,BJ59,BU59),"(NULL)")</f>
        <v/>
      </c>
      <c r="L59" s="113">
        <f>AVERAGE(M48-2%,S59-2%,AD59-2%,AO59-2%,AZ59-2%,BK59-2%,BV59-2%)</f>
        <v/>
      </c>
      <c r="M59" s="14">
        <f>IFERROR(((K59-L59)*100),"(NULL)")</f>
        <v/>
      </c>
      <c r="N59" s="107" t="n">
        <v>120</v>
      </c>
      <c r="O59" s="104" t="n">
        <v>0.779875488708176</v>
      </c>
      <c r="P59" s="104" t="n">
        <v>0.8211480481392666</v>
      </c>
      <c r="Q59" s="14" t="n">
        <v>-4.127255943109049</v>
      </c>
      <c r="R59" s="104" t="n">
        <v>0.817754952349074</v>
      </c>
      <c r="S59" s="104" t="n">
        <v>0.8518480481392665</v>
      </c>
      <c r="T59" s="14" t="n">
        <v>-3.409309579019251</v>
      </c>
      <c r="U59" s="103" t="n">
        <v>5455574.27</v>
      </c>
      <c r="V59" s="103" t="n">
        <v>231714.28</v>
      </c>
      <c r="W59" s="104">
        <f>U59/(U59+V59)</f>
        <v/>
      </c>
      <c r="X59" s="104">
        <f>1-W59</f>
        <v/>
      </c>
      <c r="Y59" s="107" t="n">
        <v>107.8295723298715</v>
      </c>
      <c r="Z59" s="104" t="n">
        <v>0.7799816502026297</v>
      </c>
      <c r="AA59" s="104" t="n">
        <v>0.8030666295366676</v>
      </c>
      <c r="AB59" s="14" t="n">
        <v>-2.3084979334038</v>
      </c>
      <c r="AC59" s="104" t="n">
        <v>0.7678600715157043</v>
      </c>
      <c r="AD59" s="104" t="n">
        <v>0.8337666295366675</v>
      </c>
      <c r="AE59" s="14" t="n">
        <v>-6.590655802096322</v>
      </c>
      <c r="AF59" s="103" t="n">
        <v>1715223.3</v>
      </c>
      <c r="AG59" s="103" t="n">
        <v>233895.48</v>
      </c>
      <c r="AH59" s="104">
        <f>AF59/(AF59+AG59)</f>
        <v/>
      </c>
      <c r="AI59" s="104">
        <f>1-AH59</f>
        <v/>
      </c>
      <c r="AJ59" s="107" t="n">
        <v>120</v>
      </c>
      <c r="AK59" s="104" t="n">
        <v>0.7219003774076955</v>
      </c>
      <c r="AL59" s="104" t="n">
        <v>0.8103876354766776</v>
      </c>
      <c r="AM59" s="14" t="n">
        <v>-8.848725806898202</v>
      </c>
      <c r="AN59" s="104" t="n">
        <v>0.7570754595517961</v>
      </c>
      <c r="AO59" s="104" t="n">
        <v>0.8410876354766775</v>
      </c>
      <c r="AP59" s="14" t="n">
        <v>-8.401217592488138</v>
      </c>
      <c r="AQ59" s="103" t="n">
        <v>3985162.51</v>
      </c>
      <c r="AR59" s="103" t="n">
        <v>252425.3</v>
      </c>
      <c r="AS59" s="104" t="n">
        <v>0.940432</v>
      </c>
      <c r="AT59" s="104" t="n">
        <v>0.059568</v>
      </c>
      <c r="AU59" s="107" t="n">
        <v>120</v>
      </c>
      <c r="AV59" s="104" t="n">
        <v>0.7633260616404505</v>
      </c>
      <c r="AW59" s="104" t="n">
        <v>0.8101960478125906</v>
      </c>
      <c r="AX59" s="14" t="n">
        <v>-4.686998617214016</v>
      </c>
      <c r="AY59" s="104" t="n">
        <v>0.7777407542371875</v>
      </c>
      <c r="AZ59" s="104" t="n">
        <v>0.8408960478125905</v>
      </c>
      <c r="BA59" s="14" t="n">
        <v>-6.315529357540314</v>
      </c>
      <c r="BB59" s="103" t="n">
        <v>6869317.43</v>
      </c>
      <c r="BC59" s="103" t="n">
        <v>201973.6</v>
      </c>
      <c r="BD59" s="104" t="n">
        <v>0.971438</v>
      </c>
      <c r="BE59" s="104" t="n">
        <v>0.028562</v>
      </c>
      <c r="BF59" s="107" t="n">
        <v>120</v>
      </c>
      <c r="BG59" s="104" t="n">
        <v>0.7450606189285314</v>
      </c>
      <c r="BH59" s="104" t="n">
        <v>0.7795857265695926</v>
      </c>
      <c r="BI59" s="14" t="n">
        <v>-3.452510764106123</v>
      </c>
      <c r="BJ59" s="104" t="n">
        <v>0.6972274847165698</v>
      </c>
      <c r="BK59" s="104" t="n">
        <v>0.8102857265695925</v>
      </c>
      <c r="BL59" s="14" t="n">
        <v>-11.30582418530227</v>
      </c>
      <c r="BM59" s="103" t="n">
        <v>5445542.93</v>
      </c>
      <c r="BN59" s="103" t="n">
        <v>24083324.06</v>
      </c>
      <c r="BO59" s="104" t="n">
        <v>0.815586</v>
      </c>
      <c r="BP59" s="104" t="n">
        <v>0.184414</v>
      </c>
      <c r="BQ59" s="107" t="n">
        <v>120</v>
      </c>
      <c r="BR59" s="104" t="n">
        <v>0.753534</v>
      </c>
      <c r="BS59" s="104" t="n">
        <v>0.787994</v>
      </c>
      <c r="BT59" s="14" t="n">
        <v>-3.446</v>
      </c>
      <c r="BU59" s="104" t="n">
        <v>0.764525</v>
      </c>
      <c r="BV59" s="104" t="n">
        <v>0.818694</v>
      </c>
      <c r="BW59" s="14" t="n">
        <v>-5.416899999999998</v>
      </c>
      <c r="BX59" s="103" t="n">
        <v>29657209.14</v>
      </c>
      <c r="BY59" s="103" t="n">
        <v>2183875.34</v>
      </c>
      <c r="BZ59" s="104" t="n">
        <v>0.931413</v>
      </c>
      <c r="CA59" s="104" t="n">
        <v>0.068587</v>
      </c>
    </row>
    <row r="60" ht="13.5" customHeight="1">
      <c r="B60" s="4" t="inlineStr">
        <is>
          <t>饰品1组</t>
        </is>
      </c>
      <c r="C60" s="112">
        <f>AVERAGE(C49,N60,Y60,AJ60,AU60,BF60,BQ60)</f>
        <v/>
      </c>
      <c r="D60" s="108">
        <f>IF((J60/(-2)*40+60)&gt;120,120,IF(J60&gt;0,0,(J60/(-2)*40+60)))</f>
        <v/>
      </c>
      <c r="E60" s="108">
        <f>IFERROR(IF((M60/(-2)*40+60)&gt;120,120,IF(M60&gt;0,0,(M60/(-2)*40+60))),"(NULL)")</f>
        <v/>
      </c>
      <c r="F60" s="113">
        <f>SUM(U60,AF60,AQ60,BB60,BM60,BX60)/SUM(U60:V60,AF60:AG60,AQ60:AR60,BB60:BC60,BM60:BN60,BX60:BY60)</f>
        <v/>
      </c>
      <c r="G60" s="104">
        <f>1-F60</f>
        <v/>
      </c>
      <c r="H60" s="113">
        <f>AVERAGE(H49,O60,Z60,AK60,AV60,BG60,BR60)</f>
        <v/>
      </c>
      <c r="I60" s="113">
        <f>AVERAGE(I49-2%,P60-2%,AA60-2%,AL60-2%,AW60-2%,BH60-2%,BS60-2%)</f>
        <v/>
      </c>
      <c r="J60" s="14">
        <f>(H60-I60)*100</f>
        <v/>
      </c>
      <c r="K60" s="113">
        <f>IFERROR(AVERAGE(L49,R60,AC60,AN60,AY60,BJ60,BU60),"(NULL)")</f>
        <v/>
      </c>
      <c r="L60" s="113">
        <f>AVERAGE(M49-2%,S60-2%,AD60-2%,AO60-2%,AZ60-2%,BK60-2%,BV60-2%)</f>
        <v/>
      </c>
      <c r="M60" s="14">
        <f>IFERROR(((K60-L60)*100),"(NULL)")</f>
        <v/>
      </c>
      <c r="N60" s="107" t="n">
        <v>0</v>
      </c>
      <c r="O60" s="104" t="n">
        <v>0.8372617711285142</v>
      </c>
      <c r="P60" s="104" t="n">
        <v>0.8353391339248091</v>
      </c>
      <c r="Q60" s="14" t="n">
        <v>0.1922637203705051</v>
      </c>
      <c r="R60" s="104" t="n">
        <v>0.9324615332917262</v>
      </c>
      <c r="S60" s="104" t="n">
        <v>0.866039133924809</v>
      </c>
      <c r="T60" s="14" t="n">
        <v>6.642239936691709</v>
      </c>
      <c r="U60" s="103" t="n">
        <v>73902856.59</v>
      </c>
      <c r="V60" s="103" t="n">
        <v>3118696.8</v>
      </c>
      <c r="W60" s="104">
        <f>U60/(U60+V60)</f>
        <v/>
      </c>
      <c r="X60" s="104">
        <f>1-W60</f>
        <v/>
      </c>
      <c r="Y60" s="107" t="n">
        <v>59.05502297861883</v>
      </c>
      <c r="Z60" s="104" t="n">
        <v>0.8167015033950767</v>
      </c>
      <c r="AA60" s="104" t="n">
        <v>0.818758610244084</v>
      </c>
      <c r="AB60" s="14" t="n">
        <v>-0.2057106849007369</v>
      </c>
      <c r="AC60" s="104" t="n">
        <v>0.9219309874862247</v>
      </c>
      <c r="AD60" s="104" t="n">
        <v>0.849458610244084</v>
      </c>
      <c r="AE60" s="14" t="n">
        <v>7.247237724214074</v>
      </c>
      <c r="AF60" s="103" t="n">
        <v>29620830.67</v>
      </c>
      <c r="AG60" s="103" t="n">
        <v>2537589.93</v>
      </c>
      <c r="AH60" s="104">
        <f>AF60/(AF60+AG60)</f>
        <v/>
      </c>
      <c r="AI60" s="104">
        <f>1-AH60</f>
        <v/>
      </c>
      <c r="AJ60" s="107" t="n">
        <v>81.74713383665144</v>
      </c>
      <c r="AK60" s="104" t="n">
        <v>0.821495825043036</v>
      </c>
      <c r="AL60" s="104" t="n">
        <v>0.836624408765845</v>
      </c>
      <c r="AM60" s="14" t="n">
        <v>-1.512858372280903</v>
      </c>
      <c r="AN60" s="104" t="n">
        <v>0.8930134828527692</v>
      </c>
      <c r="AO60" s="104" t="n">
        <v>0.8673244087658449</v>
      </c>
      <c r="AP60" s="14" t="n">
        <v>2.568907408692425</v>
      </c>
      <c r="AQ60" s="103" t="n">
        <v>61447058.55</v>
      </c>
      <c r="AR60" s="103" t="n">
        <v>6396756.79</v>
      </c>
      <c r="AS60" s="104" t="n">
        <v>0.905713</v>
      </c>
      <c r="AT60" s="104" t="n">
        <v>0.094287</v>
      </c>
      <c r="AU60" s="107" t="n">
        <v>83.93524246522995</v>
      </c>
      <c r="AV60" s="104" t="n">
        <v>0.8550453744459382</v>
      </c>
      <c r="AW60" s="104" t="n">
        <v>0.8654880482548402</v>
      </c>
      <c r="AX60" s="14" t="n">
        <v>-1.04426738089019</v>
      </c>
      <c r="AY60" s="104" t="n">
        <v>0.8709158717258406</v>
      </c>
      <c r="AZ60" s="104" t="n">
        <v>0.8961880482548401</v>
      </c>
      <c r="BA60" s="14" t="n">
        <v>-2.527217652899949</v>
      </c>
      <c r="BB60" s="103" t="n">
        <v>100215495.88</v>
      </c>
      <c r="BC60" s="103" t="n">
        <v>11486511.16</v>
      </c>
      <c r="BD60" s="104" t="n">
        <v>0.897168</v>
      </c>
      <c r="BE60" s="104" t="n">
        <v>0.102832</v>
      </c>
      <c r="BF60" s="107" t="n">
        <v>65.0192191499285</v>
      </c>
      <c r="BG60" s="104" t="n">
        <v>0.8531820926986107</v>
      </c>
      <c r="BH60" s="104" t="n">
        <v>0.8556866996289806</v>
      </c>
      <c r="BI60" s="14" t="n">
        <v>-0.2504606930369846</v>
      </c>
      <c r="BJ60" s="104" t="n">
        <v>0.8838317582055691</v>
      </c>
      <c r="BK60" s="104" t="n">
        <v>0.8863866996289805</v>
      </c>
      <c r="BL60" s="14" t="n">
        <v>-0.255494142341135</v>
      </c>
      <c r="BM60" s="103" t="n">
        <v>14398098.69</v>
      </c>
      <c r="BN60" s="103" t="n">
        <v>130469117.44</v>
      </c>
      <c r="BO60" s="104" t="n">
        <v>0.900612</v>
      </c>
      <c r="BP60" s="104" t="n">
        <v>0.099388</v>
      </c>
      <c r="BQ60" s="107" t="n">
        <v>91.67636112</v>
      </c>
      <c r="BR60" s="104" t="n">
        <v>0.80161</v>
      </c>
      <c r="BS60" s="104" t="n">
        <v>0.82317</v>
      </c>
      <c r="BT60" s="14" t="n">
        <v>-2.156</v>
      </c>
      <c r="BU60" s="104" t="n">
        <v>0.869185</v>
      </c>
      <c r="BV60" s="104" t="n">
        <v>0.8538699999999999</v>
      </c>
      <c r="BW60" s="14" t="n">
        <v>1.531500000000008</v>
      </c>
      <c r="BX60" s="103" t="n">
        <v>103632016.12</v>
      </c>
      <c r="BY60" s="103" t="n">
        <v>12935983.6</v>
      </c>
      <c r="BZ60" s="104" t="n">
        <v>0.889026</v>
      </c>
      <c r="CA60" s="104" t="n">
        <v>0.110974</v>
      </c>
    </row>
    <row r="61" ht="13.5" customHeight="1">
      <c r="B61" s="4" t="inlineStr">
        <is>
          <t>饰品2组</t>
        </is>
      </c>
      <c r="C61" s="112">
        <f>AVERAGE(C50,N61,Y61,AJ61,AU61,BF61,BQ61)</f>
        <v/>
      </c>
      <c r="D61" s="108">
        <f>IF((J61/(-2)*40+60)&gt;120,120,IF(J61&gt;0,0,(J61/(-2)*40+60)))</f>
        <v/>
      </c>
      <c r="E61" s="108">
        <f>IFERROR(IF((M61/(-2)*40+60)&gt;120,120,IF(M61&gt;0,0,(M61/(-2)*40+60))),"(NULL)")</f>
        <v/>
      </c>
      <c r="F61" s="113">
        <f>SUM(U61,AF61,AQ61,BB61,BM61,BX61)/SUM(U61:V61,AF61:AG61,AQ61:AR61,BB61:BC61,BM61:BN61,BX61:BY61)</f>
        <v/>
      </c>
      <c r="G61" s="104">
        <f>1-F61</f>
        <v/>
      </c>
      <c r="H61" s="113">
        <f>AVERAGE(H50,O61,Z61,AK61,AV61,BG61,BR61)</f>
        <v/>
      </c>
      <c r="I61" s="113">
        <f>AVERAGE(I50-2%,P61-2%,AA61-2%,AL61-2%,AW61-2%,BH61-2%,BS61-2%)</f>
        <v/>
      </c>
      <c r="J61" s="14">
        <f>(H61-I61)*100</f>
        <v/>
      </c>
      <c r="K61" s="113">
        <f>IFERROR(AVERAGE(L50,R61,AC61,AN61,AY61,BJ61,BU61),"(NULL)")</f>
        <v/>
      </c>
      <c r="L61" s="113">
        <f>AVERAGE(M50-2%,S61-2%,AD61-2%,AO61-2%,AZ61-2%,BK61-2%,BV61-2%)</f>
        <v/>
      </c>
      <c r="M61" s="14">
        <f>IFERROR(((K61-L61)*100),"(NULL)")</f>
        <v/>
      </c>
      <c r="N61" s="107" t="n">
        <v>11.41746635334691</v>
      </c>
      <c r="O61" s="104" t="n">
        <v>0.8609605750205273</v>
      </c>
      <c r="P61" s="104" t="n">
        <v>0.7787718480839202</v>
      </c>
      <c r="Q61" s="14" t="n">
        <v>8.218872693660714</v>
      </c>
      <c r="R61" s="104" t="n">
        <v>0.7653427046623879</v>
      </c>
      <c r="S61" s="104" t="n">
        <v>0.8094718480839201</v>
      </c>
      <c r="T61" s="14" t="n">
        <v>-4.412914342153229</v>
      </c>
      <c r="U61" s="103" t="n">
        <v>14208536.25</v>
      </c>
      <c r="V61" s="103" t="n">
        <v>1494029.28</v>
      </c>
      <c r="W61" s="104">
        <f>U61/(U61+V61)</f>
        <v/>
      </c>
      <c r="X61" s="104">
        <f>1-W61</f>
        <v/>
      </c>
      <c r="Y61" s="107" t="n">
        <v>16.49201718452791</v>
      </c>
      <c r="Z61" s="104" t="n">
        <v>0.8447664156374532</v>
      </c>
      <c r="AA61" s="104" t="n">
        <v>0.7944601369031116</v>
      </c>
      <c r="AB61" s="14" t="n">
        <v>5.030627873434156</v>
      </c>
      <c r="AC61" s="104" t="n">
        <v>0.7743924850732375</v>
      </c>
      <c r="AD61" s="104" t="n">
        <v>0.8251601369031115</v>
      </c>
      <c r="AE61" s="14" t="n">
        <v>-5.076765182987401</v>
      </c>
      <c r="AF61" s="103" t="n">
        <v>9577137.68</v>
      </c>
      <c r="AG61" s="103" t="n">
        <v>1525933.7</v>
      </c>
      <c r="AH61" s="104">
        <f>AF61/(AF61+AG61)</f>
        <v/>
      </c>
      <c r="AI61" s="104">
        <f>1-AH61</f>
        <v/>
      </c>
      <c r="AJ61" s="107" t="n">
        <v>14.20857338623563</v>
      </c>
      <c r="AK61" s="104" t="n">
        <v>0.8430499177488942</v>
      </c>
      <c r="AL61" s="104" t="n">
        <v>0.8284329752168731</v>
      </c>
      <c r="AM61" s="14" t="n">
        <v>1.461694253202111</v>
      </c>
      <c r="AN61" s="104" t="n">
        <v>0.7858789180587845</v>
      </c>
      <c r="AO61" s="104" t="n">
        <v>0.8591329752168729</v>
      </c>
      <c r="AP61" s="14" t="n">
        <v>-7.325405715808841</v>
      </c>
      <c r="AQ61" s="103" t="n">
        <v>16751355.35</v>
      </c>
      <c r="AR61" s="103" t="n">
        <v>2249831.29</v>
      </c>
      <c r="AS61" s="104" t="n">
        <v>0.881595</v>
      </c>
      <c r="AT61" s="104" t="n">
        <v>0.118405</v>
      </c>
      <c r="AU61" s="107" t="n">
        <v>11.32596</v>
      </c>
      <c r="AV61" s="104" t="n">
        <v>0.8735167438543964</v>
      </c>
      <c r="AW61" s="104" t="n">
        <v>0.8229048905709009</v>
      </c>
      <c r="AX61" s="14" t="n">
        <v>5.061185328349552</v>
      </c>
      <c r="AY61" s="104" t="n">
        <v>0.8045859791035591</v>
      </c>
      <c r="AZ61" s="104" t="n">
        <v>0.8536048905709008</v>
      </c>
      <c r="BA61" s="14" t="n">
        <v>-4.901891146734172</v>
      </c>
      <c r="BB61" s="103" t="n">
        <v>20878275.2</v>
      </c>
      <c r="BC61" s="103" t="n">
        <v>2175927.49</v>
      </c>
      <c r="BD61" s="104" t="n">
        <v>0.905617</v>
      </c>
      <c r="BE61" s="104" t="n">
        <v>0.09438299999999999</v>
      </c>
      <c r="BF61" s="107" t="n">
        <v>0</v>
      </c>
      <c r="BG61" s="104" t="n">
        <v>0.8845671823856716</v>
      </c>
      <c r="BH61" s="104" t="n">
        <v>0.8215754141588232</v>
      </c>
      <c r="BI61" s="14" t="n">
        <v>6.299176822684842</v>
      </c>
      <c r="BJ61" s="104" t="n">
        <v>0.8970494010302784</v>
      </c>
      <c r="BK61" s="104" t="n">
        <v>0.8522754141588231</v>
      </c>
      <c r="BL61" s="14" t="n">
        <v>4.477398687145524</v>
      </c>
      <c r="BM61" s="103" t="n">
        <v>9574111.66</v>
      </c>
      <c r="BN61" s="103" t="n">
        <v>36025479.98</v>
      </c>
      <c r="BO61" s="104" t="n">
        <v>0.79004</v>
      </c>
      <c r="BP61" s="104" t="n">
        <v>0.20996</v>
      </c>
      <c r="BQ61" s="107" t="n">
        <v>0</v>
      </c>
      <c r="BR61" s="104" t="n">
        <v>0.873972</v>
      </c>
      <c r="BS61" s="104" t="n">
        <v>0.812369</v>
      </c>
      <c r="BT61" s="14" t="n">
        <v>6.1603</v>
      </c>
      <c r="BU61" s="104" t="n">
        <v>0.884145</v>
      </c>
      <c r="BV61" s="104" t="n">
        <v>0.843069</v>
      </c>
      <c r="BW61" s="14" t="n">
        <v>4.107600000000005</v>
      </c>
      <c r="BX61" s="103" t="n">
        <v>44859476.11</v>
      </c>
      <c r="BY61" s="103" t="n">
        <v>8640538.6</v>
      </c>
      <c r="BZ61" s="104" t="n">
        <v>0.838495</v>
      </c>
      <c r="CA61" s="104" t="n">
        <v>0.161505</v>
      </c>
    </row>
    <row r="62" ht="13.5" customHeight="1">
      <c r="B62" s="4" t="inlineStr">
        <is>
          <t>海淘组</t>
        </is>
      </c>
      <c r="C62" s="112">
        <f>AVERAGE(C51,N62,Y62,AJ62,AU62,BF62,BQ62)</f>
        <v/>
      </c>
      <c r="D62" s="108">
        <f>IF((J62/(-2)*40+60)&gt;120,120,IF(J62&gt;0,0,(J62/(-2)*40+60)))</f>
        <v/>
      </c>
      <c r="E62" s="108">
        <f>IFERROR(IF((M62/(-2)*40+60)&gt;120,120,IF(M62&gt;0,0,(M62/(-2)*40+60))),"(NULL)")</f>
        <v/>
      </c>
      <c r="F62" s="113">
        <f>SUM(U62,AF62,AQ62,BB62,BM62,BX62)/SUM(U62:V62,AF62:AG62,AQ62:AR62,BB62:BC62,BM62:BN62,BX62:BY62)</f>
        <v/>
      </c>
      <c r="G62" s="104">
        <f>1-F62</f>
        <v/>
      </c>
      <c r="H62" s="113">
        <f>AVERAGE(H51,O62,Z62,AK62,AV62,BG62,BR62)</f>
        <v/>
      </c>
      <c r="I62" s="113">
        <f>AVERAGE(I51-2%,P62-2%,AA62-2%,AL62-2%,AW62-2%,BH62-2%,BS62-2%)</f>
        <v/>
      </c>
      <c r="J62" s="14">
        <f>(H62-I62)*100</f>
        <v/>
      </c>
      <c r="K62" s="113">
        <f>IFERROR(AVERAGE(L51,R62,AC62,AN62,AY62,BJ62,BU62),"(NULL)")</f>
        <v/>
      </c>
      <c r="L62" s="113">
        <f>AVERAGE(M51-2%,S62-2%,AD62-2%,AO62-2%,AZ62-2%,BK62-2%,BV62-2%)</f>
        <v/>
      </c>
      <c r="M62" s="14">
        <f>IFERROR(((K62-L62)*100),"(NULL)")</f>
        <v/>
      </c>
      <c r="N62" s="107" t="n">
        <v>61.801667164079</v>
      </c>
      <c r="O62" s="104" t="n">
        <v>0.7996590267822723</v>
      </c>
      <c r="P62" s="104" t="n">
        <v>0.7990598603643118</v>
      </c>
      <c r="Q62" s="14" t="n">
        <v>0.05991664179605038</v>
      </c>
      <c r="R62" s="104" t="inlineStr">
        <is>
          <t>(NULL)</t>
        </is>
      </c>
      <c r="S62" s="104" t="n">
        <v>0.8297598603643117</v>
      </c>
      <c r="T62" s="14" t="inlineStr">
        <is>
          <t>(NULL)</t>
        </is>
      </c>
      <c r="U62" s="103" t="n">
        <v>1634492.01</v>
      </c>
      <c r="V62" s="103" t="n">
        <v>0</v>
      </c>
      <c r="W62" s="104">
        <f>U62/(U62+V62)</f>
        <v/>
      </c>
      <c r="X62" s="104">
        <f>1-W62</f>
        <v/>
      </c>
      <c r="Y62" s="107" t="n">
        <v>0</v>
      </c>
      <c r="Z62" s="104" t="n">
        <v>0.7789051591595407</v>
      </c>
      <c r="AA62" s="104" t="n">
        <v>0.7684058940703719</v>
      </c>
      <c r="AB62" s="14" t="n">
        <v>1.049926508916883</v>
      </c>
      <c r="AC62" s="104" t="inlineStr">
        <is>
          <t>(NULL)</t>
        </is>
      </c>
      <c r="AD62" s="104" t="n">
        <v>0.7991058940703718</v>
      </c>
      <c r="AE62" s="14" t="inlineStr">
        <is>
          <t>(NULL)</t>
        </is>
      </c>
      <c r="AF62" s="103" t="n">
        <v>944075.67</v>
      </c>
      <c r="AG62" s="103" t="n">
        <v>0</v>
      </c>
      <c r="AH62" s="104">
        <f>AF62/(AF62+AG62)</f>
        <v/>
      </c>
      <c r="AI62" s="104">
        <f>1-AH62</f>
        <v/>
      </c>
      <c r="AJ62" s="107" t="n">
        <v>86.1586781709596</v>
      </c>
      <c r="AK62" s="104" t="n">
        <v>0.7837877556221421</v>
      </c>
      <c r="AL62" s="104" t="n">
        <v>0.796867094707622</v>
      </c>
      <c r="AM62" s="14" t="n">
        <v>-1.30793390854798</v>
      </c>
      <c r="AN62" s="104" t="inlineStr">
        <is>
          <t>(NULL)</t>
        </is>
      </c>
      <c r="AO62" s="104" t="n">
        <v>0.8275670947076219</v>
      </c>
      <c r="AP62" s="14" t="inlineStr">
        <is>
          <t>(NULL)</t>
        </is>
      </c>
      <c r="AQ62" s="103" t="n">
        <v>1373045.18</v>
      </c>
      <c r="AR62" s="103" t="n">
        <v>0</v>
      </c>
      <c r="AS62" s="104" t="n">
        <v>1</v>
      </c>
      <c r="AT62" s="104" t="n">
        <v>0</v>
      </c>
      <c r="AU62" s="107" t="n">
        <v>120</v>
      </c>
      <c r="AV62" s="104" t="n">
        <v>0.7857758575574343</v>
      </c>
      <c r="AW62" s="104" t="n">
        <v>0.8702468414657811</v>
      </c>
      <c r="AX62" s="14" t="n">
        <v>-8.447098390834682</v>
      </c>
      <c r="AY62" s="104" t="inlineStr">
        <is>
          <t>(NULL)</t>
        </is>
      </c>
      <c r="AZ62" s="104" t="n">
        <v>0.9009468414657811</v>
      </c>
      <c r="BA62" s="14" t="inlineStr">
        <is>
          <t>(NULL)</t>
        </is>
      </c>
      <c r="BB62" s="103" t="n">
        <v>1781832.55</v>
      </c>
      <c r="BC62" s="103" t="n">
        <v>0</v>
      </c>
      <c r="BD62" s="104" t="n">
        <v>1</v>
      </c>
      <c r="BE62" s="104" t="n">
        <v>0</v>
      </c>
      <c r="BF62" s="107" t="n">
        <v>120</v>
      </c>
      <c r="BG62" s="104" t="n">
        <v>0.7639198899732659</v>
      </c>
      <c r="BH62" s="104" t="n">
        <v>0.8651779060272869</v>
      </c>
      <c r="BI62" s="14" t="n">
        <v>-10.1258016054021</v>
      </c>
      <c r="BJ62" s="104" t="inlineStr">
        <is>
          <t>(NULL)</t>
        </is>
      </c>
      <c r="BK62" s="104" t="n">
        <v>0.8958779060272869</v>
      </c>
      <c r="BL62" s="14" t="inlineStr">
        <is>
          <t>(NULL)</t>
        </is>
      </c>
      <c r="BM62" s="103" t="n">
        <v>0</v>
      </c>
      <c r="BN62" s="103" t="n">
        <v>1256618.23</v>
      </c>
      <c r="BO62" s="104" t="n">
        <v>1</v>
      </c>
      <c r="BP62" s="104" t="n">
        <v>0</v>
      </c>
      <c r="BQ62" s="107" t="n">
        <v>120</v>
      </c>
      <c r="BR62" s="104" t="n">
        <v>0.771842</v>
      </c>
      <c r="BS62" s="104" t="n">
        <v>0.860637</v>
      </c>
      <c r="BT62" s="14" t="n">
        <v>-8.8795</v>
      </c>
      <c r="BU62" s="104" t="inlineStr">
        <is>
          <t>(NULL)</t>
        </is>
      </c>
      <c r="BV62" s="104" t="n">
        <v>0.8913369999999999</v>
      </c>
      <c r="BW62" s="14" t="inlineStr">
        <is>
          <t>(NULL)</t>
        </is>
      </c>
      <c r="BX62" s="103" t="n">
        <v>348652.9</v>
      </c>
      <c r="BY62" s="103" t="n">
        <v>0</v>
      </c>
      <c r="BZ62" s="104" t="n">
        <v>1</v>
      </c>
      <c r="CA62" s="104" t="n">
        <v>0</v>
      </c>
    </row>
    <row r="63" ht="13.5" customHeight="1">
      <c r="B63" s="4" t="inlineStr">
        <is>
          <t>总</t>
        </is>
      </c>
      <c r="C63" s="112">
        <f>AVERAGE(C52,N63,Y63,AJ63,AU63,BF63,BQ63)</f>
        <v/>
      </c>
      <c r="D63" s="108">
        <f>IF((J63/(-2)*40+60)&gt;120,120,IF(J63&gt;0,0,(J63/(-2)*40+60)))</f>
        <v/>
      </c>
      <c r="E63" s="108">
        <f>IFERROR(IF((M63/(-2)*40+60)&gt;120,120,IF(M63&gt;0,0,(M63/(-2)*40+60))),"(NULL)")</f>
        <v/>
      </c>
      <c r="F63" s="113">
        <f>SUM(U63,AF63,AQ63,BB63,BM63,BX63)/SUM(U63:V63,AF63:AG63,AQ63:AR63,BB63:BC63,BM63:BN63,BX63:BY63)</f>
        <v/>
      </c>
      <c r="G63" s="104">
        <f>1-F63</f>
        <v/>
      </c>
      <c r="H63" s="113">
        <f>AVERAGE(H52,O63,Z63,AK63,AV63,BG63,BR63)</f>
        <v/>
      </c>
      <c r="I63" s="113">
        <f>AVERAGE(I52-2%,P63-2%,AA63-2%,AL63-2%,AW63-2%,BH63-2%,BS63-2%)</f>
        <v/>
      </c>
      <c r="J63" s="14">
        <f>(H63-I63)*100</f>
        <v/>
      </c>
      <c r="K63" s="113">
        <f>IFERROR(AVERAGE(L52,R63,AC63,AN63,AY63,BJ63,BU63),"(NULL)")</f>
        <v/>
      </c>
      <c r="L63" s="113">
        <f>AVERAGE(M52-2%,S63-2%,AD63-2%,AO63-2%,AZ63-2%,BK63-2%,BV63-2%)</f>
        <v/>
      </c>
      <c r="M63" s="14">
        <f>IFERROR(((K63-L63)*100),"(NULL)")</f>
        <v/>
      </c>
      <c r="N63" s="107" t="n">
        <v>0</v>
      </c>
      <c r="O63" s="104" t="n">
        <v>0.8338972720658601</v>
      </c>
      <c r="P63" s="104" t="n">
        <v>0.8252696148757122</v>
      </c>
      <c r="Q63" s="14" t="n">
        <v>0.8627657190147886</v>
      </c>
      <c r="R63" s="104" t="n">
        <v>0.8780537877718143</v>
      </c>
      <c r="S63" s="104" t="n">
        <v>0.8559696148757121</v>
      </c>
      <c r="T63" s="14" t="n">
        <v>2.208417289610225</v>
      </c>
      <c r="U63" s="103">
        <f>SUM(U57:U62)</f>
        <v/>
      </c>
      <c r="V63" s="103">
        <f>SUM(V57:V62)</f>
        <v/>
      </c>
      <c r="W63" s="104">
        <f>U63/(U63+V63)</f>
        <v/>
      </c>
      <c r="X63" s="104">
        <f>1-W63</f>
        <v/>
      </c>
      <c r="Y63" s="107" t="n">
        <v>0</v>
      </c>
      <c r="Z63" s="104" t="n">
        <v>0.8212239506207513</v>
      </c>
      <c r="AA63" s="104" t="n">
        <v>0.8106050563619955</v>
      </c>
      <c r="AB63" s="14" t="n">
        <v>1.061889425875577</v>
      </c>
      <c r="AC63" s="104" t="n">
        <v>0.8646418954368471</v>
      </c>
      <c r="AD63" s="104" t="n">
        <v>0.8413050563619955</v>
      </c>
      <c r="AE63" s="14" t="n">
        <v>2.333683907485167</v>
      </c>
      <c r="AF63" s="103">
        <f>SUM(AF57:AF62)</f>
        <v/>
      </c>
      <c r="AG63" s="103">
        <f>SUM(AG57:AG62)</f>
        <v/>
      </c>
      <c r="AH63" s="104">
        <f>AF63/(AF63+AG63)</f>
        <v/>
      </c>
      <c r="AI63" s="104">
        <f>1-AH63</f>
        <v/>
      </c>
      <c r="AJ63" s="107" t="n">
        <v>73.0172930631701</v>
      </c>
      <c r="AK63" s="104" t="n">
        <v>0.8188833230415734</v>
      </c>
      <c r="AL63" s="104" t="n">
        <v>0.8290861443473326</v>
      </c>
      <c r="AM63" s="14" t="n">
        <v>-1.020282130575922</v>
      </c>
      <c r="AN63" s="104" t="n">
        <v>0.8656388865762187</v>
      </c>
      <c r="AO63" s="104" t="n">
        <v>0.8597861443473326</v>
      </c>
      <c r="AP63" s="14" t="n">
        <v>0.5852742228886143</v>
      </c>
      <c r="AQ63" s="103" t="n">
        <v>90466016.19</v>
      </c>
      <c r="AR63" s="103" t="n">
        <v>9153921.24</v>
      </c>
      <c r="AS63" s="104" t="n">
        <v>0.908112</v>
      </c>
      <c r="AT63" s="104" t="n">
        <v>0.091888</v>
      </c>
      <c r="AU63" s="107" t="n">
        <v>76.95549805925783</v>
      </c>
      <c r="AV63" s="104" t="n">
        <v>0.8449243338618608</v>
      </c>
      <c r="AW63" s="104" t="n">
        <v>0.8522466376596172</v>
      </c>
      <c r="AX63" s="14" t="n">
        <v>-0.7322303797756433</v>
      </c>
      <c r="AY63" s="104" t="n">
        <v>0.860494556870395</v>
      </c>
      <c r="AZ63" s="104" t="n">
        <v>0.8829466376596171</v>
      </c>
      <c r="BA63" s="14" t="n">
        <v>-2.245208078922218</v>
      </c>
      <c r="BB63" s="103" t="n">
        <v>139994010.67</v>
      </c>
      <c r="BC63" s="103" t="n">
        <v>14038472.45</v>
      </c>
      <c r="BD63" s="104" t="n">
        <v>0.90886</v>
      </c>
      <c r="BE63" s="104" t="n">
        <v>0.09114</v>
      </c>
      <c r="BF63" s="107" t="n">
        <v>11.1020873555871</v>
      </c>
      <c r="BG63" s="104" t="n">
        <v>0.8406931996937228</v>
      </c>
      <c r="BH63" s="104" t="n">
        <v>0.8371948292724771</v>
      </c>
      <c r="BI63" s="14" t="n">
        <v>0.3498370421245767</v>
      </c>
      <c r="BJ63" s="104" t="n">
        <v>0.8540750668983381</v>
      </c>
      <c r="BK63" s="104" t="n">
        <v>0.8678948292724771</v>
      </c>
      <c r="BL63" s="14" t="n">
        <v>-1.381976237413895</v>
      </c>
      <c r="BM63" s="103" t="n">
        <v>205320111.49</v>
      </c>
      <c r="BN63" s="103" t="n">
        <v>29782630.82</v>
      </c>
      <c r="BO63" s="104" t="n">
        <v>0.873321</v>
      </c>
      <c r="BP63" s="104" t="n">
        <v>0.126679</v>
      </c>
      <c r="BQ63" s="107" t="n">
        <v>67.448551032</v>
      </c>
      <c r="BR63" s="104" t="n">
        <v>0.807637</v>
      </c>
      <c r="BS63" s="104" t="n">
        <v>0.815551</v>
      </c>
      <c r="BT63" s="14" t="n">
        <v>-0.7914</v>
      </c>
      <c r="BU63" s="104" t="n">
        <v>0.866031</v>
      </c>
      <c r="BV63" s="104" t="n">
        <v>0.8462509999999999</v>
      </c>
      <c r="BW63" s="14" t="n">
        <v>1.978000000000009</v>
      </c>
      <c r="BX63" s="103" t="n">
        <v>195340158.36</v>
      </c>
      <c r="BY63" s="103" t="n">
        <v>24267962.35</v>
      </c>
      <c r="BZ63" s="104" t="n">
        <v>0.889494</v>
      </c>
      <c r="CA63" s="104" t="n">
        <v>0.110506</v>
      </c>
    </row>
    <row r="64">
      <c r="I64" s="114" t="n"/>
      <c r="L64" s="115" t="n"/>
      <c r="M64" s="8" t="n"/>
      <c r="R64" s="115" t="n"/>
    </row>
    <row r="65">
      <c r="Q65" s="9" t="n"/>
      <c r="R65" s="9" t="n"/>
      <c r="S65" s="9" t="n"/>
      <c r="T65" s="9" t="n"/>
      <c r="U65" s="9" t="n"/>
      <c r="V65" s="9" t="n"/>
    </row>
    <row r="66" ht="13.5" customHeight="1">
      <c r="B66" s="1" t="inlineStr">
        <is>
          <t>内网折扣</t>
        </is>
      </c>
      <c r="Q66" s="9" t="n"/>
      <c r="R66" s="9" t="n"/>
      <c r="S66" s="9" t="n"/>
      <c r="T66" s="9" t="n"/>
      <c r="U66" s="9" t="n"/>
      <c r="V66" s="9" t="n"/>
    </row>
    <row r="67" ht="14" customHeight="1">
      <c r="B67" s="88" t="inlineStr">
        <is>
          <t>小组</t>
        </is>
      </c>
      <c r="C67" s="88" t="inlineStr">
        <is>
          <t>MTD</t>
        </is>
      </c>
      <c r="D67" s="79" t="n"/>
      <c r="E67" s="80" t="n"/>
      <c r="F67" s="87" t="inlineStr">
        <is>
          <t>YTD</t>
        </is>
      </c>
      <c r="G67" s="79" t="n"/>
      <c r="H67" s="80" t="n"/>
      <c r="I67" s="81" t="inlineStr">
        <is>
          <t>1月</t>
        </is>
      </c>
      <c r="J67" s="79" t="n"/>
      <c r="K67" s="80" t="n"/>
      <c r="L67" s="87" t="inlineStr">
        <is>
          <t>2月</t>
        </is>
      </c>
      <c r="M67" s="79" t="n"/>
      <c r="N67" s="80" t="n"/>
      <c r="O67" s="81" t="inlineStr">
        <is>
          <t>3月</t>
        </is>
      </c>
      <c r="P67" s="79" t="n"/>
      <c r="Q67" s="80" t="n"/>
      <c r="R67" s="87" t="inlineStr">
        <is>
          <t>4月</t>
        </is>
      </c>
      <c r="S67" s="79" t="n"/>
      <c r="T67" s="80" t="n"/>
      <c r="U67" s="81" t="inlineStr">
        <is>
          <t>5月</t>
        </is>
      </c>
      <c r="V67" s="79" t="n"/>
      <c r="W67" s="80" t="n"/>
      <c r="X67" s="87" t="inlineStr">
        <is>
          <t>6月</t>
        </is>
      </c>
      <c r="Y67" s="79" t="n"/>
      <c r="Z67" s="80" t="n"/>
    </row>
    <row r="68" ht="27" customFormat="1" customHeight="1" s="9">
      <c r="B68" s="82" t="n"/>
      <c r="C68" s="88" t="inlineStr">
        <is>
          <t>去年内网价指</t>
        </is>
      </c>
      <c r="D68" s="88" t="inlineStr">
        <is>
          <t>今年内网价指</t>
        </is>
      </c>
      <c r="E68" s="88" t="inlineStr">
        <is>
          <t>系数差</t>
        </is>
      </c>
      <c r="F68" s="91" t="inlineStr">
        <is>
          <t>去年内网价指</t>
        </is>
      </c>
      <c r="G68" s="91" t="inlineStr">
        <is>
          <t>今年内网价指</t>
        </is>
      </c>
      <c r="H68" s="91" t="inlineStr">
        <is>
          <t>系数差</t>
        </is>
      </c>
      <c r="I68" s="88" t="inlineStr">
        <is>
          <t>去年内网价指</t>
        </is>
      </c>
      <c r="J68" s="88" t="inlineStr">
        <is>
          <t>今年内网价指</t>
        </is>
      </c>
      <c r="K68" s="88" t="inlineStr">
        <is>
          <t>系数差</t>
        </is>
      </c>
      <c r="L68" s="91" t="inlineStr">
        <is>
          <t>去年内网价指</t>
        </is>
      </c>
      <c r="M68" s="91" t="inlineStr">
        <is>
          <t>今年内网价指</t>
        </is>
      </c>
      <c r="N68" s="91" t="inlineStr">
        <is>
          <t>系数差</t>
        </is>
      </c>
      <c r="O68" s="88" t="inlineStr">
        <is>
          <t>去年内网价指</t>
        </is>
      </c>
      <c r="P68" s="88" t="inlineStr">
        <is>
          <t>今年内网价指</t>
        </is>
      </c>
      <c r="Q68" s="88" t="inlineStr">
        <is>
          <t>系数差</t>
        </is>
      </c>
      <c r="R68" s="91" t="inlineStr">
        <is>
          <t>去年内网价指</t>
        </is>
      </c>
      <c r="S68" s="91" t="inlineStr">
        <is>
          <t>今年内网价指</t>
        </is>
      </c>
      <c r="T68" s="91" t="inlineStr">
        <is>
          <t>系数差</t>
        </is>
      </c>
      <c r="U68" s="88" t="inlineStr">
        <is>
          <t>去年内网价指</t>
        </is>
      </c>
      <c r="V68" s="88" t="inlineStr">
        <is>
          <t>今年内网价指</t>
        </is>
      </c>
      <c r="W68" s="88" t="inlineStr">
        <is>
          <t>系数差</t>
        </is>
      </c>
      <c r="X68" s="91" t="inlineStr">
        <is>
          <t>去年内网价指</t>
        </is>
      </c>
      <c r="Y68" s="91" t="inlineStr">
        <is>
          <t>今年内网价指</t>
        </is>
      </c>
      <c r="Z68" s="91" t="inlineStr">
        <is>
          <t>系数差</t>
        </is>
      </c>
    </row>
    <row r="69">
      <c r="B69" s="4" t="inlineStr">
        <is>
          <t>海淘组</t>
        </is>
      </c>
      <c r="C69" s="10" t="n">
        <v>0.9442551200979122</v>
      </c>
      <c r="D69" s="10" t="n">
        <v>0.9351252719748095</v>
      </c>
      <c r="E69" s="10">
        <f>D69-C69</f>
        <v/>
      </c>
      <c r="F69" s="10">
        <f>AVERAGE(C69,I69,L69,O69,R69,U69,X69)</f>
        <v/>
      </c>
      <c r="G69" s="10">
        <f>AVERAGE(D69,J69,M69,P69,S69,V69,Y69)</f>
        <v/>
      </c>
      <c r="H69" s="10">
        <f>G69-F69</f>
        <v/>
      </c>
      <c r="I69" s="10" t="n">
        <v>0.957372802233</v>
      </c>
      <c r="J69" s="10" t="n">
        <v>0.920840506281</v>
      </c>
      <c r="K69" s="10">
        <f>J69-I69</f>
        <v/>
      </c>
      <c r="L69" s="10" t="n">
        <v>0.9588621515817817</v>
      </c>
      <c r="M69" s="10" t="n">
        <v>0.9217232698607226</v>
      </c>
      <c r="N69" s="10">
        <f>M69-L69</f>
        <v/>
      </c>
      <c r="O69" s="10" t="n">
        <v>0.9577034315237448</v>
      </c>
      <c r="P69" s="10" t="n">
        <v>0.9359519273411978</v>
      </c>
      <c r="Q69" s="10">
        <f>P69-O69</f>
        <v/>
      </c>
      <c r="R69" s="10" t="n">
        <v>0.9502024099597998</v>
      </c>
      <c r="S69" s="10" t="n">
        <v>0.9264212686192608</v>
      </c>
      <c r="T69" s="10">
        <f>S69-R69</f>
        <v/>
      </c>
      <c r="U69" s="10" t="n">
        <v>0.9323794951560157</v>
      </c>
      <c r="V69" s="10" t="n">
        <v>0.9096498590745553</v>
      </c>
      <c r="W69" s="10">
        <f>V69-U69</f>
        <v/>
      </c>
      <c r="X69" s="10" t="n">
        <v>0.9261167404670788</v>
      </c>
      <c r="Y69" s="10" t="n">
        <v>0.9037185410197472</v>
      </c>
      <c r="Z69" s="10">
        <f>Y69-X69</f>
        <v/>
      </c>
    </row>
    <row r="70">
      <c r="B70" s="4" t="inlineStr">
        <is>
          <t>饰品1组</t>
        </is>
      </c>
      <c r="C70" s="10" t="n">
        <v>0.9385070529208377</v>
      </c>
      <c r="D70" s="10" t="n">
        <v>0.8904571310876348</v>
      </c>
      <c r="E70" s="10">
        <f>D70-C70</f>
        <v/>
      </c>
      <c r="F70" s="10">
        <f>AVERAGE(C70,I70,L70,O70,R70,U70,X70)</f>
        <v/>
      </c>
      <c r="G70" s="10">
        <f>AVERAGE(D70,J70,M70,P70,S70,V70,Y70)</f>
        <v/>
      </c>
      <c r="H70" s="10">
        <f>G70-F70</f>
        <v/>
      </c>
      <c r="I70" s="10" t="n">
        <v>0.944438752945</v>
      </c>
      <c r="J70" s="10" t="n">
        <v>0.9118935933650001</v>
      </c>
      <c r="K70" s="10">
        <f>J70-I70</f>
        <v/>
      </c>
      <c r="L70" s="10" t="n">
        <v>0.9500923305636204</v>
      </c>
      <c r="M70" s="10" t="n">
        <v>0.9115535504699502</v>
      </c>
      <c r="N70" s="10">
        <f>M70-L70</f>
        <v/>
      </c>
      <c r="O70" s="10" t="n">
        <v>0.9392561976534259</v>
      </c>
      <c r="P70" s="10" t="n">
        <v>0.9082399228580731</v>
      </c>
      <c r="Q70" s="10">
        <f>P70-O70</f>
        <v/>
      </c>
      <c r="R70" s="10" t="n">
        <v>0.9275250959717557</v>
      </c>
      <c r="S70" s="10" t="n">
        <v>0.8987093212139042</v>
      </c>
      <c r="T70" s="10">
        <f>S70-R70</f>
        <v/>
      </c>
      <c r="U70" s="10" t="n">
        <v>0.9076973483666571</v>
      </c>
      <c r="V70" s="10" t="n">
        <v>0.8708718583263971</v>
      </c>
      <c r="W70" s="10">
        <f>V70-U70</f>
        <v/>
      </c>
      <c r="X70" s="10" t="n">
        <v>0.8837225118958316</v>
      </c>
      <c r="Y70" s="10" t="n">
        <v>0.8581718858182563</v>
      </c>
      <c r="Z70" s="10">
        <f>Y70-X70</f>
        <v/>
      </c>
    </row>
    <row r="71">
      <c r="B71" s="4" t="inlineStr">
        <is>
          <t>饰品2组</t>
        </is>
      </c>
      <c r="C71" s="10" t="n">
        <v>0.933685712972067</v>
      </c>
      <c r="D71" s="10" t="n">
        <v>0.8888831732323637</v>
      </c>
      <c r="E71" s="10">
        <f>D71-C71</f>
        <v/>
      </c>
      <c r="F71" s="10">
        <f>AVERAGE(C71,I71,L71,O71,R71,U71,X71)</f>
        <v/>
      </c>
      <c r="G71" s="10">
        <f>AVERAGE(D71,J71,M71,P71,S71,V71,Y71)</f>
        <v/>
      </c>
      <c r="H71" s="10">
        <f>G71-F71</f>
        <v/>
      </c>
      <c r="I71" s="10" t="n">
        <v>0.937773921148</v>
      </c>
      <c r="J71" s="10" t="n">
        <v>0.902749639182</v>
      </c>
      <c r="K71" s="10">
        <f>J71-I71</f>
        <v/>
      </c>
      <c r="L71" s="10" t="n">
        <v>0.9321874641497468</v>
      </c>
      <c r="M71" s="10" t="n">
        <v>0.9012438184752297</v>
      </c>
      <c r="N71" s="10">
        <f>M71-L71</f>
        <v/>
      </c>
      <c r="O71" s="10" t="n">
        <v>0.90924761982128</v>
      </c>
      <c r="P71" s="10" t="n">
        <v>0.8935186907991022</v>
      </c>
      <c r="Q71" s="10">
        <f>P71-O71</f>
        <v/>
      </c>
      <c r="R71" s="10" t="n">
        <v>0.8912065439631763</v>
      </c>
      <c r="S71" s="10" t="n">
        <v>0.8682593638113956</v>
      </c>
      <c r="T71" s="10">
        <f>S71-R71</f>
        <v/>
      </c>
      <c r="U71" s="10" t="n">
        <v>0.8671224737581693</v>
      </c>
      <c r="V71" s="10" t="n">
        <v>0.8544722888094227</v>
      </c>
      <c r="W71" s="10">
        <f>V71-U71</f>
        <v/>
      </c>
      <c r="X71" s="10" t="n">
        <v>0.8743458608540492</v>
      </c>
      <c r="Y71" s="10" t="n">
        <v>0.8444021880795403</v>
      </c>
      <c r="Z71" s="10">
        <f>Y71-X71</f>
        <v/>
      </c>
    </row>
    <row r="72">
      <c r="B72" s="4" t="inlineStr">
        <is>
          <t>珠宝1组</t>
        </is>
      </c>
      <c r="C72" s="10" t="n">
        <v>0.9779898468577517</v>
      </c>
      <c r="D72" s="10" t="n">
        <v>0.8722023115804697</v>
      </c>
      <c r="E72" s="10">
        <f>D72-C72</f>
        <v/>
      </c>
      <c r="F72" s="10">
        <f>AVERAGE(C72,I72,L72,O72,R72,U72,X72)</f>
        <v/>
      </c>
      <c r="G72" s="10">
        <f>AVERAGE(D72,J72,M72,P72,S72,V72,Y72)</f>
        <v/>
      </c>
      <c r="H72" s="10">
        <f>G72-F72</f>
        <v/>
      </c>
      <c r="I72" s="10" t="n">
        <v>0.940199129414</v>
      </c>
      <c r="J72" s="10" t="n">
        <v>0.9342008523190001</v>
      </c>
      <c r="K72" s="10">
        <f>J72-I72</f>
        <v/>
      </c>
      <c r="L72" s="10" t="n">
        <v>0.9737308015889342</v>
      </c>
      <c r="M72" s="10" t="n">
        <v>0.8942400923207954</v>
      </c>
      <c r="N72" s="10">
        <f>M72-L72</f>
        <v/>
      </c>
      <c r="O72" s="10" t="n">
        <v>0.96155161289562</v>
      </c>
      <c r="P72" s="10" t="n">
        <v>0.903426101162552</v>
      </c>
      <c r="Q72" s="10">
        <f>P72-O72</f>
        <v/>
      </c>
      <c r="R72" s="10" t="n">
        <v>0.974584090076957</v>
      </c>
      <c r="S72" s="10" t="n">
        <v>0.8959059607700315</v>
      </c>
      <c r="T72" s="10">
        <f>S72-R72</f>
        <v/>
      </c>
      <c r="U72" s="10" t="n">
        <v>0.9294867421717901</v>
      </c>
      <c r="V72" s="10" t="n">
        <v>0.8676030648544004</v>
      </c>
      <c r="W72" s="10">
        <f>V72-U72</f>
        <v/>
      </c>
      <c r="X72" s="10" t="n">
        <v>0.927596859308369</v>
      </c>
      <c r="Y72" s="10" t="n">
        <v>0.8422124405664557</v>
      </c>
      <c r="Z72" s="10">
        <f>Y72-X72</f>
        <v/>
      </c>
    </row>
    <row r="73">
      <c r="B73" s="4" t="inlineStr">
        <is>
          <t>珠宝2组</t>
        </is>
      </c>
      <c r="C73" s="10" t="n">
        <v>0.962906447794792</v>
      </c>
      <c r="D73" s="10" t="n">
        <v>0.8449899596660958</v>
      </c>
      <c r="E73" s="10">
        <f>D73-C73</f>
        <v/>
      </c>
      <c r="F73" s="10">
        <f>AVERAGE(C73,I73,L73,O73,R73,U73,X73)</f>
        <v/>
      </c>
      <c r="G73" s="10">
        <f>AVERAGE(D73,J73,M73,P73,S73,V73,Y73)</f>
        <v/>
      </c>
      <c r="H73" s="10">
        <f>G73-F73</f>
        <v/>
      </c>
      <c r="I73" s="10" t="n">
        <v>0.949920445348</v>
      </c>
      <c r="J73" s="10" t="n">
        <v>0.9282709084299999</v>
      </c>
      <c r="K73" s="10">
        <f>J73-I73</f>
        <v/>
      </c>
      <c r="L73" s="10" t="n">
        <v>0.9622173248372048</v>
      </c>
      <c r="M73" s="10" t="n">
        <v>0.9142055621075533</v>
      </c>
      <c r="N73" s="10">
        <f>M73-L73</f>
        <v/>
      </c>
      <c r="O73" s="10" t="n">
        <v>0.958177753903545</v>
      </c>
      <c r="P73" s="10" t="n">
        <v>0.8818923794298108</v>
      </c>
      <c r="Q73" s="10">
        <f>P73-O73</f>
        <v/>
      </c>
      <c r="R73" s="10" t="n">
        <v>0.96394025207194</v>
      </c>
      <c r="S73" s="10" t="n">
        <v>0.8461537581045678</v>
      </c>
      <c r="T73" s="10">
        <f>S73-R73</f>
        <v/>
      </c>
      <c r="U73" s="10" t="n">
        <v>0.8628026134120498</v>
      </c>
      <c r="V73" s="10" t="n">
        <v>0.7925656773294893</v>
      </c>
      <c r="W73" s="10">
        <f>V73-U73</f>
        <v/>
      </c>
      <c r="X73" s="10" t="n">
        <v>0.8772942386616042</v>
      </c>
      <c r="Y73" s="10" t="n">
        <v>0.7980925255828538</v>
      </c>
      <c r="Z73" s="10">
        <f>Y73-X73</f>
        <v/>
      </c>
    </row>
    <row r="74">
      <c r="B74" s="4" t="inlineStr">
        <is>
          <t>珠宝3组</t>
        </is>
      </c>
      <c r="C74" s="10" t="n">
        <v>0.9475576301941477</v>
      </c>
      <c r="D74" s="10" t="n">
        <v>0.8800287196118829</v>
      </c>
      <c r="E74" s="10">
        <f>D74-C74</f>
        <v/>
      </c>
      <c r="F74" s="10">
        <f>AVERAGE(C74,I74,L74,O74,R74,U74,X74)</f>
        <v/>
      </c>
      <c r="G74" s="10">
        <f>AVERAGE(D74,J74,M74,P74,S74,V74,Y74)</f>
        <v/>
      </c>
      <c r="H74" s="10">
        <f>G74-F74</f>
        <v/>
      </c>
      <c r="I74" s="10" t="n">
        <v>0.931639682796</v>
      </c>
      <c r="J74" s="10" t="n">
        <v>0.9015021383680001</v>
      </c>
      <c r="K74" s="10">
        <f>J74-I74</f>
        <v/>
      </c>
      <c r="L74" s="10" t="n">
        <v>0.9545066453107854</v>
      </c>
      <c r="M74" s="10" t="n">
        <v>0.8936185556142403</v>
      </c>
      <c r="N74" s="10">
        <f>M74-L74</f>
        <v/>
      </c>
      <c r="O74" s="10" t="n">
        <v>0.9357280652519093</v>
      </c>
      <c r="P74" s="10" t="n">
        <v>0.8786472108308694</v>
      </c>
      <c r="Q74" s="10">
        <f>P74-O74</f>
        <v/>
      </c>
      <c r="R74" s="10" t="n">
        <v>0.9297843432404516</v>
      </c>
      <c r="S74" s="10" t="n">
        <v>0.872985346258946</v>
      </c>
      <c r="T74" s="10">
        <f>S74-R74</f>
        <v/>
      </c>
      <c r="U74" s="10" t="n">
        <v>0.9170433561291167</v>
      </c>
      <c r="V74" s="10" t="n">
        <v>0.8655260546983298</v>
      </c>
      <c r="W74" s="10">
        <f>V74-U74</f>
        <v/>
      </c>
      <c r="X74" s="10" t="n">
        <v>0.8914790247544526</v>
      </c>
      <c r="Y74" s="10" t="n">
        <v>0.8611188632206171</v>
      </c>
      <c r="Z74" s="10">
        <f>Y74-X74</f>
        <v/>
      </c>
    </row>
    <row r="75">
      <c r="B75" s="4" t="inlineStr">
        <is>
          <t>总</t>
        </is>
      </c>
      <c r="C75" s="10" t="n">
        <v>0.9430572607356902</v>
      </c>
      <c r="D75" s="10" t="n">
        <v>0.8852997933328283</v>
      </c>
      <c r="E75" s="10">
        <f>D75-C75</f>
        <v/>
      </c>
      <c r="F75" s="10">
        <f>AVERAGE(C75,I75,L75,O75,R75,U75,X75)</f>
        <v/>
      </c>
      <c r="G75" s="10">
        <f>AVERAGE(D75,J75,M75,P75,S75,V75,Y75)</f>
        <v/>
      </c>
      <c r="H75" s="10">
        <f>G75-F75</f>
        <v/>
      </c>
      <c r="I75" s="10" t="n">
        <v>0.9414809321274138</v>
      </c>
      <c r="J75" s="10" t="n">
        <v>0.9096694824538382</v>
      </c>
      <c r="K75" s="10">
        <f>J75-I75</f>
        <v/>
      </c>
      <c r="L75" s="10" t="n">
        <v>0.9510607442608727</v>
      </c>
      <c r="M75" s="10" t="n">
        <v>0.9052398777173603</v>
      </c>
      <c r="N75" s="10">
        <f>M75-L75</f>
        <v/>
      </c>
      <c r="O75" s="10" t="n">
        <v>0.9376613891002172</v>
      </c>
      <c r="P75" s="10" t="n">
        <v>0.8986470998138902</v>
      </c>
      <c r="Q75" s="10">
        <f>P75-O75</f>
        <v/>
      </c>
      <c r="R75" s="10" t="n">
        <v>0.9287459242372471</v>
      </c>
      <c r="S75" s="10" t="n">
        <v>0.8882461528053647</v>
      </c>
      <c r="T75" s="10">
        <f>S75-R75</f>
        <v/>
      </c>
      <c r="U75" s="10" t="n">
        <v>0.9062486008734451</v>
      </c>
      <c r="V75" s="10" t="n">
        <v>0.8658601170073513</v>
      </c>
      <c r="W75" s="10">
        <f>V75-U75</f>
        <v/>
      </c>
      <c r="X75" s="10" t="n">
        <v>0.8880117354136257</v>
      </c>
      <c r="Y75" s="10" t="n">
        <v>0.8551921819051049</v>
      </c>
      <c r="Z75" s="10">
        <f>Y75-X75</f>
        <v/>
      </c>
    </row>
    <row r="78" ht="13.5" customHeight="1">
      <c r="B78" s="1" t="inlineStr">
        <is>
          <t>六高</t>
        </is>
      </c>
    </row>
    <row r="79" ht="13.5" customHeight="1">
      <c r="B79" s="1" t="inlineStr">
        <is>
          <t>MTD</t>
        </is>
      </c>
      <c r="G79" s="8" t="n"/>
      <c r="H79" s="115" t="n"/>
      <c r="J79" s="8" t="n"/>
      <c r="K79" s="115" t="n"/>
      <c r="P79" s="8" t="n"/>
      <c r="Q79" s="115" t="n"/>
    </row>
    <row r="80" ht="27" customHeight="1">
      <c r="B80" s="88" t="inlineStr">
        <is>
          <t>小组</t>
        </is>
      </c>
      <c r="C80" s="88" t="inlineStr">
        <is>
          <t>日均6高商品数</t>
        </is>
      </c>
      <c r="D80" s="88" t="inlineStr">
        <is>
          <t>可比率</t>
        </is>
      </c>
      <c r="E80" s="12" t="inlineStr">
        <is>
          <t>天猫价格指数</t>
        </is>
      </c>
      <c r="F80" s="12" t="inlineStr">
        <is>
          <t>天猫价指目标</t>
        </is>
      </c>
      <c r="G80" s="12" t="inlineStr">
        <is>
          <t>vs天猫目标</t>
        </is>
      </c>
      <c r="H80" s="88" t="inlineStr">
        <is>
          <t>抖音价格指数</t>
        </is>
      </c>
      <c r="I80" s="88" t="inlineStr">
        <is>
          <t>抖音价指目标</t>
        </is>
      </c>
      <c r="J80" s="88" t="inlineStr">
        <is>
          <t>vs抖音目标</t>
        </is>
      </c>
      <c r="K80" s="12" t="inlineStr">
        <is>
          <t>调价率</t>
        </is>
      </c>
      <c r="L80" s="12" t="inlineStr">
        <is>
          <t>调价率目标</t>
        </is>
      </c>
      <c r="M80" s="12" t="inlineStr">
        <is>
          <t>vs目标</t>
        </is>
      </c>
      <c r="N80" s="88" t="inlineStr">
        <is>
          <t>整体断货率</t>
        </is>
      </c>
      <c r="O80" s="88" t="inlineStr">
        <is>
          <t>断货率目标</t>
        </is>
      </c>
      <c r="P80" s="88" t="inlineStr">
        <is>
          <t>vs目标6.1%</t>
        </is>
      </c>
    </row>
    <row r="81">
      <c r="B81" s="4" t="inlineStr">
        <is>
          <t>精品总</t>
        </is>
      </c>
      <c r="C81" s="18" t="n">
        <v>1426.133333333333</v>
      </c>
      <c r="D81" s="104" t="n">
        <v>0.7102655198204936</v>
      </c>
      <c r="E81" s="104" t="n">
        <v>0.894085</v>
      </c>
      <c r="F81" s="104" t="n">
        <v>0.8146325152</v>
      </c>
      <c r="G81" s="104">
        <f>IFERROR(E81-F81,"(NULL)")</f>
        <v/>
      </c>
      <c r="H81" s="104" t="n">
        <v>0.885304</v>
      </c>
      <c r="I81" s="104" t="n">
        <v>0.8207995184</v>
      </c>
      <c r="J81" s="104">
        <f>IFERROR(H81-I81,"(NULL)")</f>
        <v/>
      </c>
      <c r="K81" s="104" t="n">
        <v>0.7725321888412017</v>
      </c>
      <c r="L81" s="104" t="n">
        <v>0.8082191781</v>
      </c>
      <c r="M81" s="104">
        <f>IFERROR(K81-L81,"(NULL)")</f>
        <v/>
      </c>
      <c r="N81" s="104" t="n">
        <v>0.0674717790657853</v>
      </c>
      <c r="O81" s="104" t="n">
        <v>0.0611152139</v>
      </c>
      <c r="P81" s="104">
        <f>IFERROR(N81-O81,"(NULL)")</f>
        <v/>
      </c>
    </row>
    <row r="82">
      <c r="B82" s="4" t="inlineStr">
        <is>
          <t>海淘组</t>
        </is>
      </c>
      <c r="C82" s="18" t="n">
        <v>113.6</v>
      </c>
      <c r="D82" s="104" t="n">
        <v>0.2488262910798122</v>
      </c>
      <c r="E82" s="104" t="n">
        <v>0.726978</v>
      </c>
      <c r="F82" s="104" t="n">
        <v>0.7556221149</v>
      </c>
      <c r="G82" s="104">
        <f>IFERROR(E82-F82,"(NULL)")</f>
        <v/>
      </c>
      <c r="H82" s="104" t="inlineStr">
        <is>
          <t>(NULL)</t>
        </is>
      </c>
      <c r="I82" s="104" t="n">
        <v>0.8207995184</v>
      </c>
      <c r="J82" s="104">
        <f>IFERROR(H82-I82,"(NULL)")</f>
        <v/>
      </c>
      <c r="K82" s="104" t="n">
        <v>0.8</v>
      </c>
      <c r="L82" s="104" t="n">
        <v>0.8082191781</v>
      </c>
      <c r="M82" s="104">
        <f>IFERROR(K82-L82,"(NULL)")</f>
        <v/>
      </c>
      <c r="N82" s="104" t="n">
        <v>0.1528878822197055</v>
      </c>
      <c r="O82" s="104" t="n">
        <v>0.0611152139</v>
      </c>
      <c r="P82" s="104">
        <f>IFERROR(N82-O82,"(NULL)")</f>
        <v/>
      </c>
    </row>
    <row r="83">
      <c r="B83" s="4" t="inlineStr">
        <is>
          <t>饰品1组</t>
        </is>
      </c>
      <c r="C83" s="18" t="n">
        <v>333</v>
      </c>
      <c r="D83" s="104" t="n">
        <v>0.7187187187187187</v>
      </c>
      <c r="E83" s="104" t="n">
        <v>0.885275</v>
      </c>
      <c r="F83" s="104" t="n">
        <v>0.8066</v>
      </c>
      <c r="G83" s="104">
        <f>IFERROR(E83-F83,"(NULL)")</f>
        <v/>
      </c>
      <c r="H83" s="104" t="n">
        <v>0.884537</v>
      </c>
      <c r="I83" s="104" t="n">
        <v>0.8207995184</v>
      </c>
      <c r="J83" s="104">
        <f>IFERROR(H83-I83,"(NULL)")</f>
        <v/>
      </c>
      <c r="K83" s="104" t="n">
        <v>1</v>
      </c>
      <c r="L83" s="104" t="n">
        <v>0.8082191781</v>
      </c>
      <c r="M83" s="104">
        <f>IFERROR(K83-L83,"(NULL)")</f>
        <v/>
      </c>
      <c r="N83" s="104" t="n">
        <v>0.056609623015873</v>
      </c>
      <c r="O83" s="104" t="n">
        <v>0.0611152139</v>
      </c>
      <c r="P83" s="104">
        <f>IFERROR(N83-O83,"(NULL)")</f>
        <v/>
      </c>
    </row>
    <row r="84">
      <c r="B84" s="4" t="inlineStr">
        <is>
          <t>饰品2组</t>
        </is>
      </c>
      <c r="C84" s="18" t="n">
        <v>881.2</v>
      </c>
      <c r="D84" s="104" t="n">
        <v>0.8033741867150855</v>
      </c>
      <c r="E84" s="104" t="n">
        <v>0.911267</v>
      </c>
      <c r="F84" s="104" t="n">
        <v>0.8078</v>
      </c>
      <c r="G84" s="104">
        <f>IFERROR(E84-F84,"(NULL)")</f>
        <v/>
      </c>
      <c r="H84" s="104" t="n">
        <v>0.890388</v>
      </c>
      <c r="I84" s="104" t="n">
        <v>0.8207995184</v>
      </c>
      <c r="J84" s="104">
        <f>IFERROR(H84-I84,"(NULL)")</f>
        <v/>
      </c>
      <c r="K84" s="104" t="n">
        <v>0.7346938775510204</v>
      </c>
      <c r="L84" s="104" t="n">
        <v>0.8082191781</v>
      </c>
      <c r="M84" s="104">
        <f>IFERROR(K84-L84,"(NULL)")</f>
        <v/>
      </c>
      <c r="N84" s="104" t="n">
        <v>0.0750439437519974</v>
      </c>
      <c r="O84" s="104" t="n">
        <v>0.0611152139</v>
      </c>
      <c r="P84" s="104">
        <f>IFERROR(N84-O84,"(NULL)")</f>
        <v/>
      </c>
    </row>
    <row r="85">
      <c r="B85" s="4" t="inlineStr">
        <is>
          <t>珠宝1组</t>
        </is>
      </c>
      <c r="C85" s="18" t="n">
        <v>1</v>
      </c>
      <c r="D85" s="104" t="n">
        <v>0.8</v>
      </c>
      <c r="E85" s="104" t="inlineStr">
        <is>
          <t>(NULL)</t>
        </is>
      </c>
      <c r="F85" s="104" t="n">
        <v>0.8417108422</v>
      </c>
      <c r="G85" s="104">
        <f>IFERROR(E85-F85,"(NULL)")</f>
        <v/>
      </c>
      <c r="H85" s="104" t="n">
        <v>0.999768</v>
      </c>
      <c r="I85" s="104" t="n">
        <v>0.8207995184</v>
      </c>
      <c r="J85" s="104">
        <f>IFERROR(H85-I85,"(NULL)")</f>
        <v/>
      </c>
      <c r="K85" s="104" t="inlineStr">
        <is>
          <t>(NULL)</t>
        </is>
      </c>
      <c r="L85" s="104" t="n">
        <v>0.8082191781</v>
      </c>
      <c r="M85" s="104">
        <f>IFERROR(K85-L85,"(NULL)")</f>
        <v/>
      </c>
      <c r="N85" s="104" t="n">
        <v>0</v>
      </c>
      <c r="O85" s="104" t="n">
        <v>0.0611152139</v>
      </c>
      <c r="P85" s="104">
        <f>IFERROR(N85-O85,"(NULL)")</f>
        <v/>
      </c>
    </row>
    <row r="86">
      <c r="B86" s="4" t="inlineStr">
        <is>
          <t>珠宝2组</t>
        </is>
      </c>
      <c r="C86" s="18" t="n">
        <v>2</v>
      </c>
      <c r="D86" s="104" t="n">
        <v>0.7333333333333333</v>
      </c>
      <c r="E86" s="104" t="inlineStr">
        <is>
          <t>(NULL)</t>
        </is>
      </c>
      <c r="F86" s="104" t="n">
        <v>0.7771375317</v>
      </c>
      <c r="G86" s="104">
        <f>IFERROR(E86-F86,"(NULL)")</f>
        <v/>
      </c>
      <c r="H86" s="104" t="inlineStr">
        <is>
          <t>(NULL)</t>
        </is>
      </c>
      <c r="I86" s="104" t="n">
        <v>0.8207995184</v>
      </c>
      <c r="J86" s="104">
        <f>IFERROR(H86-I86,"(NULL)")</f>
        <v/>
      </c>
      <c r="K86" s="104" t="inlineStr">
        <is>
          <t>(NULL)</t>
        </is>
      </c>
      <c r="L86" s="104" t="n">
        <v>0.8082191781</v>
      </c>
      <c r="M86" s="104">
        <f>IFERROR(K86-L86,"(NULL)")</f>
        <v/>
      </c>
      <c r="N86" s="104" t="n">
        <v>0.2666666666666667</v>
      </c>
      <c r="O86" s="104" t="n">
        <v>0.0611152139</v>
      </c>
      <c r="P86" s="104">
        <f>IFERROR(N86-O86,"(NULL)")</f>
        <v/>
      </c>
    </row>
    <row r="87">
      <c r="B87" s="4" t="inlineStr">
        <is>
          <t>珠宝3组</t>
        </is>
      </c>
      <c r="C87" s="18" t="n">
        <v>95.66666666666667</v>
      </c>
      <c r="D87" s="104" t="n">
        <v>0.3700348432055749</v>
      </c>
      <c r="E87" s="104" t="n">
        <v>0.832282</v>
      </c>
      <c r="F87" s="104" t="n">
        <v>0.8087257009</v>
      </c>
      <c r="G87" s="104">
        <f>IFERROR(E87-F87,"(NULL)")</f>
        <v/>
      </c>
      <c r="H87" s="104" t="n">
        <v>0.780199</v>
      </c>
      <c r="I87" s="104" t="n">
        <v>0.8207995184</v>
      </c>
      <c r="J87" s="104">
        <f>IFERROR(H87-I87,"(NULL)")</f>
        <v/>
      </c>
      <c r="K87" s="104" t="n">
        <v>1</v>
      </c>
      <c r="L87" s="104" t="n">
        <v>0.8082191781</v>
      </c>
      <c r="M87" s="104">
        <f>IFERROR(K87-L87,"(NULL)")</f>
        <v/>
      </c>
      <c r="N87" s="104" t="n">
        <v>0.0195141377937077</v>
      </c>
      <c r="O87" s="104" t="n">
        <v>0.0611152139</v>
      </c>
      <c r="P87" s="104">
        <f>IFERROR(N87-O87,"(NULL)")</f>
        <v/>
      </c>
    </row>
    <row r="90" ht="13.5" customHeight="1">
      <c r="B90" s="1" t="inlineStr">
        <is>
          <t>优质款</t>
        </is>
      </c>
    </row>
    <row r="91" ht="13.5" customHeight="1">
      <c r="B91" s="1" t="inlineStr">
        <is>
          <t>MTD</t>
        </is>
      </c>
    </row>
    <row r="92" ht="27" customHeight="1">
      <c r="B92" s="88" t="inlineStr">
        <is>
          <t>小组</t>
        </is>
      </c>
      <c r="C92" s="88" t="inlineStr">
        <is>
          <t>已引进</t>
        </is>
      </c>
      <c r="D92" s="88" t="inlineStr">
        <is>
          <t>未引入</t>
        </is>
      </c>
      <c r="E92" s="88" t="inlineStr">
        <is>
          <t>暂不引进</t>
        </is>
      </c>
      <c r="F92" s="88" t="inlineStr">
        <is>
          <t>总计</t>
        </is>
      </c>
      <c r="G92" s="88" t="inlineStr">
        <is>
          <t>引入率（目标50%）</t>
        </is>
      </c>
    </row>
    <row r="93">
      <c r="B93" s="4" t="inlineStr">
        <is>
          <t>海淘组</t>
        </is>
      </c>
      <c r="C93" s="4" t="n">
        <v>0</v>
      </c>
      <c r="D93" s="4" t="n">
        <v>0</v>
      </c>
      <c r="E93" s="4" t="n">
        <v>0</v>
      </c>
      <c r="F93" s="4">
        <f>SUM(C93:E93)</f>
        <v/>
      </c>
      <c r="G93" s="6">
        <f>IFERROR(C93/F93,"-")</f>
        <v/>
      </c>
    </row>
    <row r="94">
      <c r="B94" s="4" t="inlineStr">
        <is>
          <t>饰品1组</t>
        </is>
      </c>
      <c r="C94" s="4" t="n">
        <v>0</v>
      </c>
      <c r="D94" s="4" t="n">
        <v>2</v>
      </c>
      <c r="E94" s="4" t="n">
        <v>0</v>
      </c>
      <c r="F94" s="4">
        <f>SUM(C94:E94)</f>
        <v/>
      </c>
      <c r="G94" s="6">
        <f>IFERROR(C94/F94,"-")</f>
        <v/>
      </c>
    </row>
    <row r="95">
      <c r="B95" s="4" t="inlineStr">
        <is>
          <t>饰品2组</t>
        </is>
      </c>
      <c r="C95" s="4" t="n">
        <v>0</v>
      </c>
      <c r="D95" s="4" t="n">
        <v>11</v>
      </c>
      <c r="E95" s="4" t="n">
        <v>0</v>
      </c>
      <c r="F95" s="4">
        <f>SUM(C95:E95)</f>
        <v/>
      </c>
      <c r="G95" s="6">
        <f>IFERROR(C95/F95,"-")</f>
        <v/>
      </c>
    </row>
    <row r="96">
      <c r="B96" s="4" t="inlineStr">
        <is>
          <t>珠宝1组</t>
        </is>
      </c>
      <c r="C96" s="4" t="n">
        <v>0</v>
      </c>
      <c r="D96" s="4" t="n">
        <v>0</v>
      </c>
      <c r="E96" s="4" t="n">
        <v>0</v>
      </c>
      <c r="F96" s="4">
        <f>SUM(C96:E96)</f>
        <v/>
      </c>
      <c r="G96" s="6">
        <f>IFERROR(C96/F96,"-")</f>
        <v/>
      </c>
    </row>
    <row r="97">
      <c r="B97" s="4" t="inlineStr">
        <is>
          <t>珠宝2组</t>
        </is>
      </c>
      <c r="C97" s="4" t="n">
        <v>0</v>
      </c>
      <c r="D97" s="4" t="n">
        <v>0</v>
      </c>
      <c r="E97" s="4" t="n">
        <v>0</v>
      </c>
      <c r="F97" s="4">
        <f>SUM(C97:E97)</f>
        <v/>
      </c>
      <c r="G97" s="6">
        <f>IFERROR(C97/F97,"-")</f>
        <v/>
      </c>
    </row>
    <row r="98">
      <c r="B98" s="4" t="inlineStr">
        <is>
          <t>珠宝3组</t>
        </is>
      </c>
      <c r="C98" s="4" t="n">
        <v>0</v>
      </c>
      <c r="D98" s="4" t="n">
        <v>0</v>
      </c>
      <c r="E98" s="4" t="n">
        <v>0</v>
      </c>
      <c r="F98" s="4">
        <f>SUM(C98:E98)</f>
        <v/>
      </c>
      <c r="G98" s="6">
        <f>IFERROR(C98/F98,"-")</f>
        <v/>
      </c>
    </row>
    <row r="99">
      <c r="B99" s="4" t="inlineStr">
        <is>
          <t>精品总</t>
        </is>
      </c>
      <c r="C99" s="4">
        <f>SUM(C93:C98)</f>
        <v/>
      </c>
      <c r="D99" s="4">
        <f>SUM(D93:D98)</f>
        <v/>
      </c>
      <c r="E99" s="4">
        <f>SUM(E93:E98)</f>
        <v/>
      </c>
      <c r="F99" s="4">
        <f>SUM(C99:E99)</f>
        <v/>
      </c>
      <c r="G99" s="6">
        <f>IFERROR(C99/F99,"-")</f>
        <v/>
      </c>
    </row>
    <row r="100" ht="13.5" customHeight="1">
      <c r="B100" s="1" t="n"/>
    </row>
    <row r="101" ht="13.5" customHeight="1">
      <c r="B101" s="1" t="inlineStr">
        <is>
          <t>历史月份</t>
        </is>
      </c>
    </row>
    <row r="102" ht="14" customHeight="1">
      <c r="B102" s="88" t="inlineStr">
        <is>
          <t>小组</t>
        </is>
      </c>
      <c r="C102" s="88" t="inlineStr">
        <is>
          <t>YTD</t>
        </is>
      </c>
      <c r="D102" s="79" t="n"/>
      <c r="E102" s="79" t="n"/>
      <c r="F102" s="79" t="n"/>
      <c r="G102" s="80" t="n"/>
      <c r="H102" s="91" t="inlineStr">
        <is>
          <t>1月</t>
        </is>
      </c>
      <c r="I102" s="79" t="n"/>
      <c r="J102" s="79" t="n"/>
      <c r="K102" s="79" t="n"/>
      <c r="L102" s="80" t="n"/>
      <c r="M102" s="88" t="inlineStr">
        <is>
          <t>2月</t>
        </is>
      </c>
      <c r="N102" s="79" t="n"/>
      <c r="O102" s="79" t="n"/>
      <c r="P102" s="79" t="n"/>
      <c r="Q102" s="80" t="n"/>
      <c r="R102" s="91" t="inlineStr">
        <is>
          <t>3月</t>
        </is>
      </c>
      <c r="S102" s="79" t="n"/>
      <c r="T102" s="79" t="n"/>
      <c r="U102" s="79" t="n"/>
      <c r="V102" s="80" t="n"/>
      <c r="W102" s="88" t="inlineStr">
        <is>
          <t>4月</t>
        </is>
      </c>
      <c r="X102" s="79" t="n"/>
      <c r="Y102" s="79" t="n"/>
      <c r="Z102" s="79" t="n"/>
      <c r="AA102" s="80" t="n"/>
      <c r="AB102" s="91" t="inlineStr">
        <is>
          <t>5月</t>
        </is>
      </c>
      <c r="AC102" s="79" t="n"/>
      <c r="AD102" s="79" t="n"/>
      <c r="AE102" s="79" t="n"/>
      <c r="AF102" s="80" t="n"/>
      <c r="AG102" s="88" t="inlineStr">
        <is>
          <t>6月</t>
        </is>
      </c>
      <c r="AH102" s="79" t="n"/>
      <c r="AI102" s="79" t="n"/>
      <c r="AJ102" s="79" t="n"/>
      <c r="AK102" s="80" t="n"/>
    </row>
    <row r="103" ht="27" customHeight="1">
      <c r="B103" s="82" t="n"/>
      <c r="C103" s="88" t="inlineStr">
        <is>
          <t>已引进</t>
        </is>
      </c>
      <c r="D103" s="88" t="inlineStr">
        <is>
          <t>未引进</t>
        </is>
      </c>
      <c r="E103" s="88" t="inlineStr">
        <is>
          <t>暂不引进</t>
        </is>
      </c>
      <c r="F103" s="88" t="inlineStr">
        <is>
          <t>总计</t>
        </is>
      </c>
      <c r="G103" s="88" t="inlineStr">
        <is>
          <t>引入率（目标50%）</t>
        </is>
      </c>
      <c r="H103" s="91" t="inlineStr">
        <is>
          <t>已引进</t>
        </is>
      </c>
      <c r="I103" s="91" t="inlineStr">
        <is>
          <t>未引进</t>
        </is>
      </c>
      <c r="J103" s="91" t="inlineStr">
        <is>
          <t>暂不引进</t>
        </is>
      </c>
      <c r="K103" s="91" t="inlineStr">
        <is>
          <t>总计</t>
        </is>
      </c>
      <c r="L103" s="91" t="inlineStr">
        <is>
          <t>引入率（目标50%）</t>
        </is>
      </c>
      <c r="M103" s="88" t="inlineStr">
        <is>
          <t>已引进</t>
        </is>
      </c>
      <c r="N103" s="88" t="inlineStr">
        <is>
          <t>未引进</t>
        </is>
      </c>
      <c r="O103" s="88" t="inlineStr">
        <is>
          <t>暂不引进</t>
        </is>
      </c>
      <c r="P103" s="88" t="inlineStr">
        <is>
          <t>总计</t>
        </is>
      </c>
      <c r="Q103" s="88" t="inlineStr">
        <is>
          <t>引入率（目标50%）</t>
        </is>
      </c>
      <c r="R103" s="91" t="inlineStr">
        <is>
          <t>已引进</t>
        </is>
      </c>
      <c r="S103" s="91" t="inlineStr">
        <is>
          <t>未引进</t>
        </is>
      </c>
      <c r="T103" s="91" t="inlineStr">
        <is>
          <t>暂不引进</t>
        </is>
      </c>
      <c r="U103" s="91" t="inlineStr">
        <is>
          <t>总计</t>
        </is>
      </c>
      <c r="V103" s="91" t="inlineStr">
        <is>
          <t>引入率（目标50%）</t>
        </is>
      </c>
      <c r="W103" s="88" t="inlineStr">
        <is>
          <t>已引进</t>
        </is>
      </c>
      <c r="X103" s="88" t="inlineStr">
        <is>
          <t>未引进</t>
        </is>
      </c>
      <c r="Y103" s="88" t="inlineStr">
        <is>
          <t>暂不引进</t>
        </is>
      </c>
      <c r="Z103" s="88" t="inlineStr">
        <is>
          <t>总计</t>
        </is>
      </c>
      <c r="AA103" s="88" t="inlineStr">
        <is>
          <t>引入率（目标50%）</t>
        </is>
      </c>
      <c r="AB103" s="91" t="inlineStr">
        <is>
          <t>已引进</t>
        </is>
      </c>
      <c r="AC103" s="91" t="inlineStr">
        <is>
          <t>未引进</t>
        </is>
      </c>
      <c r="AD103" s="91" t="inlineStr">
        <is>
          <t>暂不引进</t>
        </is>
      </c>
      <c r="AE103" s="91" t="inlineStr">
        <is>
          <t>总计</t>
        </is>
      </c>
      <c r="AF103" s="91" t="inlineStr">
        <is>
          <t>引入率（目标50%）</t>
        </is>
      </c>
      <c r="AG103" s="88" t="inlineStr">
        <is>
          <t>已引进</t>
        </is>
      </c>
      <c r="AH103" s="88" t="inlineStr">
        <is>
          <t>未引进</t>
        </is>
      </c>
      <c r="AI103" s="88" t="inlineStr">
        <is>
          <t>暂不引进</t>
        </is>
      </c>
      <c r="AJ103" s="88" t="inlineStr">
        <is>
          <t>总计</t>
        </is>
      </c>
      <c r="AK103" s="88" t="inlineStr">
        <is>
          <t>引入率（目标50%）</t>
        </is>
      </c>
    </row>
    <row r="104">
      <c r="B104" s="4" t="inlineStr">
        <is>
          <t>海淘组</t>
        </is>
      </c>
      <c r="C104" s="4">
        <f>C93+H104+M104+R104+W104+AB104+AG104</f>
        <v/>
      </c>
      <c r="D104" s="4">
        <f>D93+I104+N104+S104+X104+AC104+AH104</f>
        <v/>
      </c>
      <c r="E104" s="4">
        <f>E93+J104+O104+T104+Y104+AD104+AI104</f>
        <v/>
      </c>
      <c r="F104" s="4">
        <f>F93+K104+P104+U104+Z104+AE104+AJ104</f>
        <v/>
      </c>
      <c r="G104" s="6">
        <f>IFERROR(C104/F104,"-")</f>
        <v/>
      </c>
      <c r="H104" s="4" t="n">
        <v>0</v>
      </c>
      <c r="I104" s="4" t="n">
        <v>0</v>
      </c>
      <c r="J104" s="4" t="n">
        <v>0</v>
      </c>
      <c r="K104" s="4">
        <f>SUM(H104:J104)</f>
        <v/>
      </c>
      <c r="L104" s="6">
        <f>IFERROR(H104/K104,"-")</f>
        <v/>
      </c>
      <c r="M104" s="4" t="n">
        <v>1</v>
      </c>
      <c r="N104" s="4" t="n">
        <v>0</v>
      </c>
      <c r="O104" s="4" t="n">
        <v>0</v>
      </c>
      <c r="P104" s="4">
        <f>SUM(M104:O104)</f>
        <v/>
      </c>
      <c r="Q104" s="6">
        <f>IFERROR(M104/P104,"-")</f>
        <v/>
      </c>
      <c r="R104" s="4" t="n">
        <v>0</v>
      </c>
      <c r="S104" s="4" t="n">
        <v>0</v>
      </c>
      <c r="T104" s="4" t="n">
        <v>0</v>
      </c>
      <c r="U104" s="4">
        <f>SUM(R104:T104)</f>
        <v/>
      </c>
      <c r="V104" s="6">
        <f>IFERROR(R104/U104,"-")</f>
        <v/>
      </c>
      <c r="W104" s="4" t="n">
        <v>0</v>
      </c>
      <c r="X104" s="4" t="n">
        <v>0</v>
      </c>
      <c r="Y104" s="4" t="n">
        <v>0</v>
      </c>
      <c r="Z104" s="4">
        <f>SUM(W104:Y104)</f>
        <v/>
      </c>
      <c r="AA104" s="6">
        <f>IFERROR(W104/Z104,"-")</f>
        <v/>
      </c>
      <c r="AB104" s="4" t="n">
        <v>0</v>
      </c>
      <c r="AC104" s="4" t="n">
        <v>0</v>
      </c>
      <c r="AD104" s="4" t="n">
        <v>0</v>
      </c>
      <c r="AE104" s="4" t="n">
        <v>0</v>
      </c>
      <c r="AF104" s="6">
        <f>IFERROR(AB104/AE104,"-")</f>
        <v/>
      </c>
      <c r="AG104" s="4" t="n">
        <v>0</v>
      </c>
      <c r="AH104" s="4" t="n">
        <v>0</v>
      </c>
      <c r="AI104" s="4" t="n">
        <v>0</v>
      </c>
      <c r="AJ104" s="4">
        <f>SUM(AG104:AI104)</f>
        <v/>
      </c>
      <c r="AK104" s="6">
        <f>IFERROR(AG104/AJ104,"-")</f>
        <v/>
      </c>
    </row>
    <row r="105">
      <c r="B105" s="4" t="inlineStr">
        <is>
          <t>饰品1组</t>
        </is>
      </c>
      <c r="C105" s="4">
        <f>C94+H105+M105+R105+W105+AB105+AG105</f>
        <v/>
      </c>
      <c r="D105" s="4">
        <f>D94+I105+N105+S105+X105+AC105+AH105</f>
        <v/>
      </c>
      <c r="E105" s="4">
        <f>E94+J105+O105+T105+Y105+AD105+AI105</f>
        <v/>
      </c>
      <c r="F105" s="4">
        <f>F94+K105+P105+U105+Z105+AE105+AJ105</f>
        <v/>
      </c>
      <c r="G105" s="6">
        <f>IFERROR(C105/F105,"-")</f>
        <v/>
      </c>
      <c r="H105" s="4" t="n">
        <v>15</v>
      </c>
      <c r="I105" s="4" t="n">
        <v>17</v>
      </c>
      <c r="J105" s="4" t="n">
        <v>1</v>
      </c>
      <c r="K105" s="4">
        <f>SUM(H105:J105)</f>
        <v/>
      </c>
      <c r="L105" s="6">
        <f>IFERROR(H105/K105,"-")</f>
        <v/>
      </c>
      <c r="M105" s="4" t="n">
        <v>0</v>
      </c>
      <c r="N105" s="4" t="n">
        <v>2</v>
      </c>
      <c r="O105" s="4" t="n">
        <v>0</v>
      </c>
      <c r="P105" s="4">
        <f>SUM(M105:O105)</f>
        <v/>
      </c>
      <c r="Q105" s="6">
        <f>IFERROR(M105/P105,"-")</f>
        <v/>
      </c>
      <c r="R105" s="4" t="n">
        <v>0</v>
      </c>
      <c r="S105" s="4" t="n">
        <v>0</v>
      </c>
      <c r="T105" s="4" t="n">
        <v>0</v>
      </c>
      <c r="U105" s="4">
        <f>SUM(R105:T105)</f>
        <v/>
      </c>
      <c r="V105" s="6">
        <f>IFERROR(R105/U105,"-")</f>
        <v/>
      </c>
      <c r="W105" s="4" t="n">
        <v>0</v>
      </c>
      <c r="X105" s="4" t="n">
        <v>0</v>
      </c>
      <c r="Y105" s="4" t="n">
        <v>0</v>
      </c>
      <c r="Z105" s="4">
        <f>SUM(W105:Y105)</f>
        <v/>
      </c>
      <c r="AA105" s="6">
        <f>IFERROR(W105/Z105,"-")</f>
        <v/>
      </c>
      <c r="AB105" s="4" t="n">
        <v>0</v>
      </c>
      <c r="AC105" s="4" t="n">
        <v>0</v>
      </c>
      <c r="AD105" s="4" t="n">
        <v>0</v>
      </c>
      <c r="AE105" s="4" t="n">
        <v>0</v>
      </c>
      <c r="AF105" s="6">
        <f>IFERROR(AB105/AE105,"-")</f>
        <v/>
      </c>
      <c r="AG105" s="4" t="n">
        <v>0</v>
      </c>
      <c r="AH105" s="4" t="n">
        <v>0</v>
      </c>
      <c r="AI105" s="4" t="n">
        <v>0</v>
      </c>
      <c r="AJ105" s="4">
        <f>SUM(AG105:AI105)</f>
        <v/>
      </c>
      <c r="AK105" s="6">
        <f>IFERROR(AG105/AJ105,"-")</f>
        <v/>
      </c>
    </row>
    <row r="106">
      <c r="B106" s="4" t="inlineStr">
        <is>
          <t>饰品2组</t>
        </is>
      </c>
      <c r="C106" s="4">
        <f>C95+H106+M106+R106+W106+AB106+AG106</f>
        <v/>
      </c>
      <c r="D106" s="4">
        <f>D95+I106+N106+S106+X106+AC106+AH106</f>
        <v/>
      </c>
      <c r="E106" s="4">
        <f>E95+J106+O106+T106+Y106+AD106+AI106</f>
        <v/>
      </c>
      <c r="F106" s="4">
        <f>F95+K106+P106+U106+Z106+AE106+AJ106</f>
        <v/>
      </c>
      <c r="G106" s="6">
        <f>IFERROR(C106/F106,"-")</f>
        <v/>
      </c>
      <c r="H106" s="4" t="n">
        <v>1</v>
      </c>
      <c r="I106" s="4" t="n">
        <v>0</v>
      </c>
      <c r="J106" s="4" t="n">
        <v>0</v>
      </c>
      <c r="K106" s="4">
        <f>SUM(H106:J106)</f>
        <v/>
      </c>
      <c r="L106" s="6">
        <f>IFERROR(H106/K106,"-")</f>
        <v/>
      </c>
      <c r="M106" s="4" t="n">
        <v>0</v>
      </c>
      <c r="N106" s="4" t="n">
        <v>2</v>
      </c>
      <c r="O106" s="4" t="n">
        <v>1</v>
      </c>
      <c r="P106" s="4">
        <f>SUM(M106:O106)</f>
        <v/>
      </c>
      <c r="Q106" s="6">
        <f>IFERROR(M106/P106,"-")</f>
        <v/>
      </c>
      <c r="R106" s="4" t="n">
        <v>3</v>
      </c>
      <c r="S106" s="4" t="n">
        <v>0</v>
      </c>
      <c r="T106" s="4" t="n">
        <v>0</v>
      </c>
      <c r="U106" s="4">
        <f>SUM(R106:T106)</f>
        <v/>
      </c>
      <c r="V106" s="6">
        <f>IFERROR(R106/U106,"-")</f>
        <v/>
      </c>
      <c r="W106" s="4" t="n">
        <v>0</v>
      </c>
      <c r="X106" s="4" t="n">
        <v>0</v>
      </c>
      <c r="Y106" s="4" t="n">
        <v>0</v>
      </c>
      <c r="Z106" s="4">
        <f>SUM(W106:Y106)</f>
        <v/>
      </c>
      <c r="AA106" s="6">
        <f>IFERROR(W106/Z106,"-")</f>
        <v/>
      </c>
      <c r="AB106" s="4" t="n">
        <v>0</v>
      </c>
      <c r="AC106" s="4" t="n">
        <v>0</v>
      </c>
      <c r="AD106" s="4" t="n">
        <v>0</v>
      </c>
      <c r="AE106" s="4" t="n">
        <v>0</v>
      </c>
      <c r="AF106" s="6">
        <f>IFERROR(AB106/AE106,"-")</f>
        <v/>
      </c>
      <c r="AG106" s="4" t="n">
        <v>0</v>
      </c>
      <c r="AH106" s="4" t="n">
        <v>0</v>
      </c>
      <c r="AI106" s="4" t="n">
        <v>0</v>
      </c>
      <c r="AJ106" s="4">
        <f>SUM(AG106:AI106)</f>
        <v/>
      </c>
      <c r="AK106" s="6">
        <f>IFERROR(AG106/AJ106,"-")</f>
        <v/>
      </c>
    </row>
    <row r="107">
      <c r="B107" s="4" t="inlineStr">
        <is>
          <t>珠宝1组</t>
        </is>
      </c>
      <c r="C107" s="4">
        <f>C96+H107+M107+R107+W107+AB107+AG107</f>
        <v/>
      </c>
      <c r="D107" s="4">
        <f>D96+I107+N107+S107+X107+AC107+AH107</f>
        <v/>
      </c>
      <c r="E107" s="4">
        <f>E96+J107+O107+T107+Y107+AD107+AI107</f>
        <v/>
      </c>
      <c r="F107" s="4">
        <f>F96+K107+P107+U107+Z107+AE107+AJ107</f>
        <v/>
      </c>
      <c r="G107" s="6">
        <f>IFERROR(C107/F107,"-")</f>
        <v/>
      </c>
      <c r="H107" s="4" t="n">
        <v>1</v>
      </c>
      <c r="I107" s="4" t="n">
        <v>1</v>
      </c>
      <c r="J107" s="4" t="n">
        <v>0</v>
      </c>
      <c r="K107" s="4">
        <f>SUM(H107:J107)</f>
        <v/>
      </c>
      <c r="L107" s="6">
        <f>IFERROR(H107/K107,"-")</f>
        <v/>
      </c>
      <c r="M107" s="4" t="n">
        <v>1</v>
      </c>
      <c r="N107" s="4" t="n">
        <v>0</v>
      </c>
      <c r="O107" s="4" t="n">
        <v>0</v>
      </c>
      <c r="P107" s="4">
        <f>SUM(M107:O107)</f>
        <v/>
      </c>
      <c r="Q107" s="6">
        <f>IFERROR(M107/P107,"-")</f>
        <v/>
      </c>
      <c r="R107" s="4" t="n">
        <v>1</v>
      </c>
      <c r="S107" s="4" t="n">
        <v>0</v>
      </c>
      <c r="T107" s="4" t="n">
        <v>0</v>
      </c>
      <c r="U107" s="4">
        <f>SUM(R107:T107)</f>
        <v/>
      </c>
      <c r="V107" s="6">
        <f>IFERROR(R107/U107,"-")</f>
        <v/>
      </c>
      <c r="W107" s="4" t="n">
        <v>0</v>
      </c>
      <c r="X107" s="4" t="n">
        <v>0</v>
      </c>
      <c r="Y107" s="4" t="n">
        <v>0</v>
      </c>
      <c r="Z107" s="4">
        <f>SUM(W107:Y107)</f>
        <v/>
      </c>
      <c r="AA107" s="6">
        <f>IFERROR(W107/Z107,"-")</f>
        <v/>
      </c>
      <c r="AB107" s="4" t="n">
        <v>0</v>
      </c>
      <c r="AC107" s="4" t="n">
        <v>0</v>
      </c>
      <c r="AD107" s="4" t="n">
        <v>0</v>
      </c>
      <c r="AE107" s="4" t="n">
        <v>0</v>
      </c>
      <c r="AF107" s="6">
        <f>IFERROR(AB107/AE107,"-")</f>
        <v/>
      </c>
      <c r="AG107" s="4" t="n">
        <v>0</v>
      </c>
      <c r="AH107" s="4" t="n">
        <v>0</v>
      </c>
      <c r="AI107" s="4" t="n">
        <v>0</v>
      </c>
      <c r="AJ107" s="4">
        <f>SUM(AG107:AI107)</f>
        <v/>
      </c>
      <c r="AK107" s="6">
        <f>IFERROR(AG107/AJ107,"-")</f>
        <v/>
      </c>
    </row>
    <row r="108">
      <c r="B108" s="4" t="inlineStr">
        <is>
          <t>珠宝2组</t>
        </is>
      </c>
      <c r="C108" s="4">
        <f>C97+H108+M108+R108+W108+AB108+AG108</f>
        <v/>
      </c>
      <c r="D108" s="4">
        <f>D97+I108+N108+S108+X108+AC108+AH108</f>
        <v/>
      </c>
      <c r="E108" s="4">
        <f>E97+J108+O108+T108+Y108+AD108+AI108</f>
        <v/>
      </c>
      <c r="F108" s="4">
        <f>F97+K108+P108+U108+Z108+AE108+AJ108</f>
        <v/>
      </c>
      <c r="G108" s="6">
        <f>IFERROR(C108/F108,"-")</f>
        <v/>
      </c>
      <c r="H108" s="4" t="n">
        <v>0</v>
      </c>
      <c r="I108" s="4" t="n">
        <v>0</v>
      </c>
      <c r="J108" s="4" t="n">
        <v>0</v>
      </c>
      <c r="K108" s="4">
        <f>SUM(H108:J108)</f>
        <v/>
      </c>
      <c r="L108" s="6">
        <f>IFERROR(H108/K108,"-")</f>
        <v/>
      </c>
      <c r="M108" s="4" t="n">
        <v>0</v>
      </c>
      <c r="N108" s="4" t="n">
        <v>0</v>
      </c>
      <c r="O108" s="4" t="n">
        <v>0</v>
      </c>
      <c r="P108" s="4">
        <f>SUM(M108:O108)</f>
        <v/>
      </c>
      <c r="Q108" s="6">
        <f>IFERROR(M108/P108,"-")</f>
        <v/>
      </c>
      <c r="R108" s="4" t="n">
        <v>0</v>
      </c>
      <c r="S108" s="4" t="n">
        <v>0</v>
      </c>
      <c r="T108" s="4" t="n">
        <v>0</v>
      </c>
      <c r="U108" s="4">
        <f>SUM(R108:T108)</f>
        <v/>
      </c>
      <c r="V108" s="6">
        <f>IFERROR(R108/U108,"-")</f>
        <v/>
      </c>
      <c r="W108" s="4" t="n">
        <v>0</v>
      </c>
      <c r="X108" s="4" t="n">
        <v>0</v>
      </c>
      <c r="Y108" s="4" t="n">
        <v>0</v>
      </c>
      <c r="Z108" s="4">
        <f>SUM(W108:Y108)</f>
        <v/>
      </c>
      <c r="AA108" s="6">
        <f>IFERROR(W108/Z108,"-")</f>
        <v/>
      </c>
      <c r="AB108" s="4" t="n">
        <v>0</v>
      </c>
      <c r="AC108" s="4" t="n">
        <v>0</v>
      </c>
      <c r="AD108" s="4" t="n">
        <v>0</v>
      </c>
      <c r="AE108" s="4" t="n">
        <v>0</v>
      </c>
      <c r="AF108" s="6">
        <f>IFERROR(AB108/AE108,"-")</f>
        <v/>
      </c>
      <c r="AG108" s="4" t="n">
        <v>0</v>
      </c>
      <c r="AH108" s="4" t="n">
        <v>0</v>
      </c>
      <c r="AI108" s="4" t="n">
        <v>0</v>
      </c>
      <c r="AJ108" s="4">
        <f>SUM(AG108:AI108)</f>
        <v/>
      </c>
      <c r="AK108" s="6">
        <f>IFERROR(AG108/AJ108,"-")</f>
        <v/>
      </c>
    </row>
    <row r="109">
      <c r="B109" s="4" t="inlineStr">
        <is>
          <t>珠宝3组</t>
        </is>
      </c>
      <c r="C109" s="4">
        <f>C98+H109+M109+R109+W109+AB109+AG109</f>
        <v/>
      </c>
      <c r="D109" s="4">
        <f>D98+I109+N109+S109+X109+AC109+AH109</f>
        <v/>
      </c>
      <c r="E109" s="4">
        <f>E98+J109+O109+T109+Y109+AD109+AI109</f>
        <v/>
      </c>
      <c r="F109" s="4">
        <f>F98+K109+P109+U109+Z109+AE109+AJ109</f>
        <v/>
      </c>
      <c r="G109" s="6">
        <f>IFERROR(C109/F109,"-")</f>
        <v/>
      </c>
      <c r="H109" s="4" t="n">
        <v>0</v>
      </c>
      <c r="I109" s="4" t="n">
        <v>1</v>
      </c>
      <c r="J109" s="4" t="n">
        <v>0</v>
      </c>
      <c r="K109" s="4">
        <f>SUM(H109:J109)</f>
        <v/>
      </c>
      <c r="L109" s="6">
        <f>IFERROR(H109/K109,"-")</f>
        <v/>
      </c>
      <c r="M109" s="4" t="n">
        <v>1</v>
      </c>
      <c r="N109" s="4" t="n">
        <v>0</v>
      </c>
      <c r="O109" s="4" t="n">
        <v>0</v>
      </c>
      <c r="P109" s="4">
        <f>SUM(M109:O109)</f>
        <v/>
      </c>
      <c r="Q109" s="6">
        <f>IFERROR(M109/P109,"-")</f>
        <v/>
      </c>
      <c r="R109" s="4" t="n">
        <v>0</v>
      </c>
      <c r="S109" s="4" t="n">
        <v>0</v>
      </c>
      <c r="T109" s="4" t="n">
        <v>0</v>
      </c>
      <c r="U109" s="4">
        <f>SUM(R109:T109)</f>
        <v/>
      </c>
      <c r="V109" s="6">
        <f>IFERROR(R109/U109,"-")</f>
        <v/>
      </c>
      <c r="W109" s="4" t="n">
        <v>0</v>
      </c>
      <c r="X109" s="4" t="n">
        <v>0</v>
      </c>
      <c r="Y109" s="4" t="n">
        <v>0</v>
      </c>
      <c r="Z109" s="4">
        <f>SUM(W109:Y109)</f>
        <v/>
      </c>
      <c r="AA109" s="6">
        <f>IFERROR(W109/Z109,"-")</f>
        <v/>
      </c>
      <c r="AB109" s="4" t="n">
        <v>0</v>
      </c>
      <c r="AC109" s="4" t="n">
        <v>0</v>
      </c>
      <c r="AD109" s="4" t="n">
        <v>0</v>
      </c>
      <c r="AE109" s="4" t="n">
        <v>0</v>
      </c>
      <c r="AF109" s="6">
        <f>IFERROR(AB109/AE109,"-")</f>
        <v/>
      </c>
      <c r="AG109" s="4" t="n">
        <v>0</v>
      </c>
      <c r="AH109" s="4" t="n">
        <v>0</v>
      </c>
      <c r="AI109" s="4" t="n">
        <v>0</v>
      </c>
      <c r="AJ109" s="4">
        <f>SUM(AG109:AI109)</f>
        <v/>
      </c>
      <c r="AK109" s="6">
        <f>IFERROR(AG109/AJ109,"-")</f>
        <v/>
      </c>
    </row>
    <row r="110">
      <c r="B110" s="4" t="inlineStr">
        <is>
          <t>精品总</t>
        </is>
      </c>
      <c r="C110" s="4">
        <f>C99+H110+M110+R110+W110+AB110+AG110</f>
        <v/>
      </c>
      <c r="D110" s="4">
        <f>D99+I110+N110+S110+X110+AC110+AH110</f>
        <v/>
      </c>
      <c r="E110" s="4">
        <f>E99+J110+O110+T110+Y110+AD110+AI110</f>
        <v/>
      </c>
      <c r="F110" s="4">
        <f>F99+K110+P110+U110+Z110+AE110+AJ110</f>
        <v/>
      </c>
      <c r="G110" s="6">
        <f>IFERROR(C110/F110,"-")</f>
        <v/>
      </c>
      <c r="H110" s="4">
        <f>SUM(H104:H109)</f>
        <v/>
      </c>
      <c r="I110" s="4">
        <f>SUM(I104:I109)</f>
        <v/>
      </c>
      <c r="J110" s="4">
        <f>SUM(J104:J109)</f>
        <v/>
      </c>
      <c r="K110" s="4">
        <f>SUM(H110:J110)</f>
        <v/>
      </c>
      <c r="L110" s="6">
        <f>IFERROR(H110/K110,"-")</f>
        <v/>
      </c>
      <c r="M110" s="4">
        <f>SUM(M104:M109)</f>
        <v/>
      </c>
      <c r="N110" s="4">
        <f>SUM(N104:N109)</f>
        <v/>
      </c>
      <c r="O110" s="4">
        <f>SUM(O104:O109)</f>
        <v/>
      </c>
      <c r="P110" s="4">
        <f>SUM(M110:O110)</f>
        <v/>
      </c>
      <c r="Q110" s="6">
        <f>IFERROR(M110/P110,"-")</f>
        <v/>
      </c>
      <c r="R110" s="4" t="n">
        <v>4</v>
      </c>
      <c r="S110" s="4" t="n">
        <v>0</v>
      </c>
      <c r="T110" s="4" t="n">
        <v>0</v>
      </c>
      <c r="U110" s="4">
        <f>SUM(R110:T110)</f>
        <v/>
      </c>
      <c r="V110" s="6">
        <f>IFERROR(R110/U110,"-")</f>
        <v/>
      </c>
      <c r="W110" s="4" t="n">
        <v>0</v>
      </c>
      <c r="X110" s="4" t="n">
        <v>0</v>
      </c>
      <c r="Y110" s="4" t="n">
        <v>0</v>
      </c>
      <c r="Z110" s="4">
        <f>SUM(W110:Y110)</f>
        <v/>
      </c>
      <c r="AA110" s="6">
        <f>IFERROR(W110/Z110,"-")</f>
        <v/>
      </c>
      <c r="AB110" s="4" t="n">
        <v>0</v>
      </c>
      <c r="AC110" s="4" t="n">
        <v>0</v>
      </c>
      <c r="AD110" s="4" t="n">
        <v>0</v>
      </c>
      <c r="AE110" s="4" t="n">
        <v>0</v>
      </c>
      <c r="AF110" s="6">
        <f>IFERROR(AB110/AE110,"-")</f>
        <v/>
      </c>
      <c r="AG110" s="4" t="n">
        <v>0</v>
      </c>
      <c r="AH110" s="4" t="n">
        <v>0</v>
      </c>
      <c r="AI110" s="4" t="n">
        <v>0</v>
      </c>
      <c r="AJ110" s="4">
        <f>SUM(AG110:AI110)</f>
        <v/>
      </c>
      <c r="AK110" s="6">
        <f>IFERROR(AG110/AJ110,"-")</f>
        <v/>
      </c>
    </row>
    <row r="113" ht="13.5" customHeight="1">
      <c r="B113" s="1" t="inlineStr">
        <is>
          <t>机采</t>
        </is>
      </c>
    </row>
    <row r="114" ht="13.5" customHeight="1">
      <c r="B114" s="1" t="inlineStr">
        <is>
          <t>MTD</t>
        </is>
      </c>
      <c r="C114" s="13" t="inlineStr">
        <is>
          <t>https://vman.vip.vip.com/vman/analysis/share/open_share_link?key=33ae248a05ff318f3e23067e54834ea3</t>
        </is>
      </c>
      <c r="K114" s="29" t="n"/>
    </row>
    <row r="115" ht="13.5" customHeight="1">
      <c r="B115" s="88" t="inlineStr">
        <is>
          <t>小组</t>
        </is>
      </c>
      <c r="C115" s="102" t="inlineStr">
        <is>
          <t>月度目标</t>
        </is>
      </c>
      <c r="D115" s="102" t="inlineStr">
        <is>
          <t>月度完成</t>
        </is>
      </c>
      <c r="E115" s="102" t="inlineStr">
        <is>
          <t>月完成率</t>
        </is>
      </c>
      <c r="F115" s="102" t="inlineStr">
        <is>
          <t>同期</t>
        </is>
      </c>
      <c r="G115" s="102" t="inlineStr">
        <is>
          <t>业绩同比</t>
        </is>
      </c>
      <c r="H115" s="102" t="inlineStr">
        <is>
          <t>阶段目标</t>
        </is>
      </c>
      <c r="I115" s="102" t="inlineStr">
        <is>
          <t>阶段完成</t>
        </is>
      </c>
      <c r="K115" s="29" t="n"/>
    </row>
    <row r="116" ht="13.5" customHeight="1">
      <c r="B116" s="4" t="inlineStr">
        <is>
          <t>精品总</t>
        </is>
      </c>
      <c r="C116" s="103">
        <f>SUM(C117:C119)</f>
        <v/>
      </c>
      <c r="D116" s="103">
        <f>SUM(D117:D119)</f>
        <v/>
      </c>
      <c r="E116" s="104">
        <f>D116/C116</f>
        <v/>
      </c>
      <c r="F116" s="103">
        <f>SUM(F117:F119)</f>
        <v/>
      </c>
      <c r="G116" s="104">
        <f>D116/F116-1</f>
        <v/>
      </c>
      <c r="H116" s="103">
        <f>SUM(H117:H119)</f>
        <v/>
      </c>
      <c r="I116" s="104">
        <f>D116/H116</f>
        <v/>
      </c>
      <c r="K116" s="29" t="n"/>
    </row>
    <row r="117">
      <c r="B117" s="4" t="inlineStr">
        <is>
          <t>海淘组</t>
        </is>
      </c>
      <c r="C117" s="103" t="n">
        <v>1705697.009344685</v>
      </c>
      <c r="D117" s="103" t="n">
        <v>79161.14999999999</v>
      </c>
      <c r="E117" s="104">
        <f>D117/C117</f>
        <v/>
      </c>
      <c r="F117" s="103" t="n">
        <v>360445.58</v>
      </c>
      <c r="G117" s="104">
        <f>D117/F117-1</f>
        <v/>
      </c>
      <c r="H117" s="103">
        <f>C117*H12/C12</f>
        <v/>
      </c>
      <c r="I117" s="104">
        <f>D117/H117</f>
        <v/>
      </c>
    </row>
    <row r="118">
      <c r="B118" s="4" t="inlineStr">
        <is>
          <t>饰品1组</t>
        </is>
      </c>
      <c r="C118" s="103" t="n">
        <v>2665151.577101071</v>
      </c>
      <c r="D118" s="103" t="n">
        <v>180795.15</v>
      </c>
      <c r="E118" s="104">
        <f>D118/C118</f>
        <v/>
      </c>
      <c r="F118" s="103" t="n">
        <v>377869.71</v>
      </c>
      <c r="G118" s="104">
        <f>D118/F118-1</f>
        <v/>
      </c>
      <c r="H118" s="103">
        <f>C118*H12/C12</f>
        <v/>
      </c>
      <c r="I118" s="104">
        <f>D118/H118</f>
        <v/>
      </c>
    </row>
    <row r="119">
      <c r="B119" s="4" t="inlineStr">
        <is>
          <t>饰品2组</t>
        </is>
      </c>
      <c r="C119" s="103" t="n">
        <v>959454.5677563855</v>
      </c>
      <c r="D119" s="103" t="n">
        <v>0</v>
      </c>
      <c r="E119" s="104">
        <f>D119/C119</f>
        <v/>
      </c>
      <c r="F119" s="103" t="n">
        <v>4371.37</v>
      </c>
      <c r="G119" s="104">
        <f>D119/F119-1</f>
        <v/>
      </c>
      <c r="H119" s="103">
        <f>C119*H12/C12</f>
        <v/>
      </c>
      <c r="I119" s="104">
        <f>D119/H119</f>
        <v/>
      </c>
    </row>
    <row r="121" ht="13.5" customHeight="1">
      <c r="B121" s="1" t="inlineStr">
        <is>
          <t>历史月份完成</t>
        </is>
      </c>
    </row>
    <row r="122" ht="14" customHeight="1">
      <c r="B122" s="88" t="inlineStr">
        <is>
          <t>小组</t>
        </is>
      </c>
      <c r="C122" s="81" t="inlineStr">
        <is>
          <t>YTD</t>
        </is>
      </c>
      <c r="D122" s="79" t="n"/>
      <c r="E122" s="79" t="n"/>
      <c r="F122" s="79" t="n"/>
      <c r="G122" s="80" t="n"/>
      <c r="H122" s="105" t="inlineStr">
        <is>
          <t>1月</t>
        </is>
      </c>
      <c r="I122" s="79" t="n"/>
      <c r="J122" s="79" t="n"/>
      <c r="K122" s="79" t="n"/>
      <c r="L122" s="80" t="n"/>
      <c r="M122" s="102" t="inlineStr">
        <is>
          <t>2月</t>
        </is>
      </c>
      <c r="N122" s="79" t="n"/>
      <c r="O122" s="79" t="n"/>
      <c r="P122" s="79" t="n"/>
      <c r="Q122" s="80" t="n"/>
      <c r="R122" s="105" t="inlineStr">
        <is>
          <t>3月</t>
        </is>
      </c>
      <c r="S122" s="79" t="n"/>
      <c r="T122" s="79" t="n"/>
      <c r="U122" s="79" t="n"/>
      <c r="V122" s="80" t="n"/>
      <c r="W122" s="102" t="inlineStr">
        <is>
          <t>4月</t>
        </is>
      </c>
      <c r="X122" s="79" t="n"/>
      <c r="Y122" s="79" t="n"/>
      <c r="Z122" s="79" t="n"/>
      <c r="AA122" s="80" t="n"/>
      <c r="AB122" s="105" t="inlineStr">
        <is>
          <t>5月</t>
        </is>
      </c>
      <c r="AC122" s="79" t="n"/>
      <c r="AD122" s="79" t="n"/>
      <c r="AE122" s="79" t="n"/>
      <c r="AF122" s="80" t="n"/>
      <c r="AG122" s="102" t="inlineStr">
        <is>
          <t>6月</t>
        </is>
      </c>
      <c r="AH122" s="79" t="n"/>
      <c r="AI122" s="79" t="n"/>
      <c r="AJ122" s="79" t="n"/>
      <c r="AK122" s="80" t="n"/>
    </row>
    <row r="123" ht="13.5" customHeight="1">
      <c r="B123" s="82" t="n"/>
      <c r="C123" s="102" t="inlineStr">
        <is>
          <t>YTD目标</t>
        </is>
      </c>
      <c r="D123" s="102" t="inlineStr">
        <is>
          <t>YTD完成</t>
        </is>
      </c>
      <c r="E123" s="102" t="inlineStr">
        <is>
          <t>YTD完成率</t>
        </is>
      </c>
      <c r="F123" s="102" t="inlineStr">
        <is>
          <t>YTD同期</t>
        </is>
      </c>
      <c r="G123" s="102" t="inlineStr">
        <is>
          <t>YTD业绩同比</t>
        </is>
      </c>
      <c r="H123" s="105" t="inlineStr">
        <is>
          <t>1月目标</t>
        </is>
      </c>
      <c r="I123" s="105" t="inlineStr">
        <is>
          <t>1月完成</t>
        </is>
      </c>
      <c r="J123" s="105" t="inlineStr">
        <is>
          <t>1月完成率</t>
        </is>
      </c>
      <c r="K123" s="105" t="inlineStr">
        <is>
          <t>同期</t>
        </is>
      </c>
      <c r="L123" s="105" t="inlineStr">
        <is>
          <t>业绩同比</t>
        </is>
      </c>
      <c r="M123" s="102" t="inlineStr">
        <is>
          <t>2月目标</t>
        </is>
      </c>
      <c r="N123" s="102" t="inlineStr">
        <is>
          <t>2月完成</t>
        </is>
      </c>
      <c r="O123" s="102" t="inlineStr">
        <is>
          <t>2月完成率</t>
        </is>
      </c>
      <c r="P123" s="102" t="inlineStr">
        <is>
          <t>同期</t>
        </is>
      </c>
      <c r="Q123" s="102" t="inlineStr">
        <is>
          <t>业绩同比</t>
        </is>
      </c>
      <c r="R123" s="105" t="inlineStr">
        <is>
          <t>3月目标</t>
        </is>
      </c>
      <c r="S123" s="105" t="inlineStr">
        <is>
          <t>3月完成</t>
        </is>
      </c>
      <c r="T123" s="105" t="inlineStr">
        <is>
          <t>3月完成率</t>
        </is>
      </c>
      <c r="U123" s="105" t="inlineStr">
        <is>
          <t>同期</t>
        </is>
      </c>
      <c r="V123" s="105" t="inlineStr">
        <is>
          <t>业绩同比</t>
        </is>
      </c>
      <c r="W123" s="102" t="inlineStr">
        <is>
          <t>4月目标</t>
        </is>
      </c>
      <c r="X123" s="102" t="inlineStr">
        <is>
          <t>4月完成</t>
        </is>
      </c>
      <c r="Y123" s="102" t="inlineStr">
        <is>
          <t>4月完成率</t>
        </is>
      </c>
      <c r="Z123" s="102" t="inlineStr">
        <is>
          <t>同期</t>
        </is>
      </c>
      <c r="AA123" s="102" t="inlineStr">
        <is>
          <t>业绩同比</t>
        </is>
      </c>
      <c r="AB123" s="105" t="inlineStr">
        <is>
          <t>5月目标</t>
        </is>
      </c>
      <c r="AC123" s="105" t="inlineStr">
        <is>
          <t>5月完成</t>
        </is>
      </c>
      <c r="AD123" s="105" t="inlineStr">
        <is>
          <t>5月完成率</t>
        </is>
      </c>
      <c r="AE123" s="105" t="inlineStr">
        <is>
          <t>同期</t>
        </is>
      </c>
      <c r="AF123" s="105" t="inlineStr">
        <is>
          <t>业绩同比</t>
        </is>
      </c>
      <c r="AG123" s="102" t="inlineStr">
        <is>
          <t>6月目标</t>
        </is>
      </c>
      <c r="AH123" s="102" t="inlineStr">
        <is>
          <t>6月完成</t>
        </is>
      </c>
      <c r="AI123" s="102" t="inlineStr">
        <is>
          <t>6月完成率</t>
        </is>
      </c>
      <c r="AJ123" s="102" t="inlineStr">
        <is>
          <t>同期</t>
        </is>
      </c>
      <c r="AK123" s="102" t="inlineStr">
        <is>
          <t>业绩同比</t>
        </is>
      </c>
    </row>
    <row r="124">
      <c r="B124" s="4" t="inlineStr">
        <is>
          <t>精品总</t>
        </is>
      </c>
      <c r="C124" s="103">
        <f>SUM(C125:C127)</f>
        <v/>
      </c>
      <c r="D124" s="103">
        <f>SUM(D125:D127)</f>
        <v/>
      </c>
      <c r="E124" s="104">
        <f>D124/C124</f>
        <v/>
      </c>
      <c r="F124" s="103">
        <f>SUM(F125:F127)</f>
        <v/>
      </c>
      <c r="G124" s="104">
        <f>D124/F124-1</f>
        <v/>
      </c>
      <c r="H124" s="103" t="n">
        <v>5747034.295845424</v>
      </c>
      <c r="I124" s="103">
        <f>SUM(I125:I127)</f>
        <v/>
      </c>
      <c r="J124" s="104">
        <f>I124/H124</f>
        <v/>
      </c>
      <c r="K124" s="103">
        <f>SUM(K125:K127)</f>
        <v/>
      </c>
      <c r="L124" s="104">
        <f>I124/K124-1</f>
        <v/>
      </c>
      <c r="M124" s="103" t="n">
        <v>5230006.035688729</v>
      </c>
      <c r="N124" s="103">
        <f>SUM(N125:N127)</f>
        <v/>
      </c>
      <c r="O124" s="104">
        <f>N124/M124</f>
        <v/>
      </c>
      <c r="P124" s="103">
        <f>SUM(P125:P127)</f>
        <v/>
      </c>
      <c r="Q124" s="104">
        <f>N124/P124-1</f>
        <v/>
      </c>
      <c r="R124" s="103" t="n">
        <v>7095165.874723146</v>
      </c>
      <c r="S124" s="103">
        <f>SUM(S125:S127)</f>
        <v/>
      </c>
      <c r="T124" s="104">
        <f>S124/R124</f>
        <v/>
      </c>
      <c r="U124" s="103">
        <f>SUM(U125:U127)</f>
        <v/>
      </c>
      <c r="V124" s="104">
        <f>S124/U124-1</f>
        <v/>
      </c>
      <c r="W124" s="103">
        <f>SUM(W125:W127)</f>
        <v/>
      </c>
      <c r="X124" s="103">
        <f>SUM(X125:X127)</f>
        <v/>
      </c>
      <c r="Y124" s="104">
        <f>X124/W124</f>
        <v/>
      </c>
      <c r="Z124" s="103">
        <f>SUM(Z125:Z127)</f>
        <v/>
      </c>
      <c r="AA124" s="104">
        <f>X124/Z124-1</f>
        <v/>
      </c>
      <c r="AB124" s="103">
        <f>SUM(AB125:AB127)</f>
        <v/>
      </c>
      <c r="AC124" s="103">
        <f>SUM(AC125:AC127)</f>
        <v/>
      </c>
      <c r="AD124" s="104">
        <f>AC124/AB124</f>
        <v/>
      </c>
      <c r="AE124" s="103">
        <f>SUM(AE125:AE127)</f>
        <v/>
      </c>
      <c r="AF124" s="104">
        <f>AC124/AE124-1</f>
        <v/>
      </c>
      <c r="AG124" s="103">
        <f>SUM(AG125:AG127)</f>
        <v/>
      </c>
      <c r="AH124" s="103">
        <f>SUM(AH125:AH127)</f>
        <v/>
      </c>
      <c r="AI124" s="104">
        <f>AH124/AG124</f>
        <v/>
      </c>
      <c r="AJ124" s="103">
        <f>SUM(AJ125:AJ127)</f>
        <v/>
      </c>
      <c r="AK124" s="104">
        <f>AH124/AJ124-1</f>
        <v/>
      </c>
    </row>
    <row r="125">
      <c r="B125" s="4" t="inlineStr">
        <is>
          <t>海淘组</t>
        </is>
      </c>
      <c r="C125" s="103">
        <f>H125+H117+M125+R125+W125+AB125+AG125</f>
        <v/>
      </c>
      <c r="D125" s="103">
        <f>I125+D117+N125+S125+X125+AC125+AH125</f>
        <v/>
      </c>
      <c r="E125" s="104">
        <f>D125/C125</f>
        <v/>
      </c>
      <c r="F125" s="103">
        <f>K125+F117+P125+U125+Z125+AE125+AJ125</f>
        <v/>
      </c>
      <c r="G125" s="104">
        <f>D125/F125-1</f>
        <v/>
      </c>
      <c r="H125" s="103" t="n">
        <v>1839050.974670536</v>
      </c>
      <c r="I125" s="103" t="n">
        <v>543948</v>
      </c>
      <c r="J125" s="104">
        <f>I125/H125</f>
        <v/>
      </c>
      <c r="K125" s="103" t="n">
        <v>493939</v>
      </c>
      <c r="L125" s="104">
        <f>I125/K125-1</f>
        <v/>
      </c>
      <c r="M125" s="103" t="n">
        <v>1673601.931420393</v>
      </c>
      <c r="N125" s="103" t="n">
        <v>363354</v>
      </c>
      <c r="O125" s="104">
        <f>N125/M125</f>
        <v/>
      </c>
      <c r="P125" s="103" t="n">
        <v>695613</v>
      </c>
      <c r="Q125" s="104">
        <f>N125/P125-1</f>
        <v/>
      </c>
      <c r="R125" s="103" t="n">
        <v>2270453.079911407</v>
      </c>
      <c r="S125" s="103" t="n">
        <v>462400</v>
      </c>
      <c r="T125" s="104">
        <f>S125/R125</f>
        <v/>
      </c>
      <c r="U125" s="103" t="n">
        <v>193409</v>
      </c>
      <c r="V125" s="104">
        <f>S125/U125-1</f>
        <v/>
      </c>
      <c r="W125" s="103" t="n">
        <v>2171910.78906379</v>
      </c>
      <c r="X125" s="103" t="n">
        <v>567045.51</v>
      </c>
      <c r="Y125" s="104">
        <f>X125/W125</f>
        <v/>
      </c>
      <c r="Z125" s="103" t="n">
        <v>299838.7</v>
      </c>
      <c r="AA125" s="104">
        <f>X125/Z125-1</f>
        <v/>
      </c>
      <c r="AB125" s="103" t="n">
        <v>2217428.470900306</v>
      </c>
      <c r="AC125" s="103" t="n">
        <v>302341.3</v>
      </c>
      <c r="AD125" s="104">
        <f>AC125/AB125</f>
        <v/>
      </c>
      <c r="AE125" s="103" t="n">
        <v>433835.86</v>
      </c>
      <c r="AF125" s="104">
        <f>AC125/AE125-1</f>
        <v/>
      </c>
      <c r="AG125" s="103" t="n">
        <v>1560324.702790958</v>
      </c>
      <c r="AH125" s="103" t="n">
        <v>269594.52</v>
      </c>
      <c r="AI125" s="104">
        <f>AH125/AG125</f>
        <v/>
      </c>
      <c r="AJ125" s="103" t="n">
        <v>150507.63</v>
      </c>
      <c r="AK125" s="104">
        <f>AH125/AJ125-1</f>
        <v/>
      </c>
    </row>
    <row r="126">
      <c r="B126" s="4" t="inlineStr">
        <is>
          <t>饰品1组</t>
        </is>
      </c>
      <c r="C126" s="103">
        <f>H126+H118+M126+R126+W126+AB126+AG126</f>
        <v/>
      </c>
      <c r="D126" s="103">
        <f>I126+D118+N126+S126+X126+AC126+AH126</f>
        <v/>
      </c>
      <c r="E126" s="104">
        <f>D126/C126</f>
        <v/>
      </c>
      <c r="F126" s="103">
        <f>K126+F118+P126+U126+Z126+AE126+AJ126</f>
        <v/>
      </c>
      <c r="G126" s="104">
        <f>D126/F126-1</f>
        <v/>
      </c>
      <c r="H126" s="103" t="n">
        <v>2873517.147922712</v>
      </c>
      <c r="I126" s="103" t="n">
        <v>228668</v>
      </c>
      <c r="J126" s="104">
        <f>I126/H126</f>
        <v/>
      </c>
      <c r="K126" s="103" t="n"/>
      <c r="L126" s="104">
        <f>I126/K126-1</f>
        <v/>
      </c>
      <c r="M126" s="103" t="n">
        <v>2615003.017844365</v>
      </c>
      <c r="N126" s="103" t="n">
        <v>332027</v>
      </c>
      <c r="O126" s="104">
        <f>N126/M126</f>
        <v/>
      </c>
      <c r="P126" s="103" t="n">
        <v>59893</v>
      </c>
      <c r="Q126" s="104">
        <f>N126/P126-1</f>
        <v/>
      </c>
      <c r="R126" s="103" t="n">
        <v>3547582.937361573</v>
      </c>
      <c r="S126" s="103" t="n">
        <v>714665</v>
      </c>
      <c r="T126" s="104">
        <f>S126/R126</f>
        <v/>
      </c>
      <c r="U126" s="103" t="n">
        <v>843867</v>
      </c>
      <c r="V126" s="104">
        <f>S126/U126-1</f>
        <v/>
      </c>
      <c r="W126" s="103" t="n">
        <v>3393610.607912173</v>
      </c>
      <c r="X126" s="103" t="n">
        <v>926447.9300000001</v>
      </c>
      <c r="Y126" s="104">
        <f>X126/W126</f>
        <v/>
      </c>
      <c r="Z126" s="103" t="n">
        <v>919084.22</v>
      </c>
      <c r="AA126" s="104">
        <f>X126/Z126-1</f>
        <v/>
      </c>
      <c r="AB126" s="103" t="n">
        <v>3464731.985781728</v>
      </c>
      <c r="AC126" s="103" t="n">
        <v>1024408.64</v>
      </c>
      <c r="AD126" s="104">
        <f>AC126/AB126</f>
        <v/>
      </c>
      <c r="AE126" s="103" t="n">
        <v>1089877.47</v>
      </c>
      <c r="AF126" s="104">
        <f>AC126/AE126-1</f>
        <v/>
      </c>
      <c r="AG126" s="103" t="n">
        <v>2438007.348110872</v>
      </c>
      <c r="AH126" s="103" t="n">
        <v>583311.3</v>
      </c>
      <c r="AI126" s="104">
        <f>AH126/AG126</f>
        <v/>
      </c>
      <c r="AJ126" s="103" t="n">
        <v>987606.47</v>
      </c>
      <c r="AK126" s="104">
        <f>AH126/AJ126-1</f>
        <v/>
      </c>
    </row>
    <row r="127">
      <c r="B127" s="4" t="inlineStr">
        <is>
          <t>饰品2组</t>
        </is>
      </c>
      <c r="C127" s="103">
        <f>H127+H119+M127+R127+W127+AB127+AG127</f>
        <v/>
      </c>
      <c r="D127" s="103">
        <f>I127+D119+N127+S127+X127+AC127+AH127</f>
        <v/>
      </c>
      <c r="E127" s="104">
        <f>D127/C127</f>
        <v/>
      </c>
      <c r="F127" s="103">
        <f>K127+F119+P127+U127+Z127+AE127+AJ127</f>
        <v/>
      </c>
      <c r="G127" s="104">
        <f>D127/F127-1</f>
        <v/>
      </c>
      <c r="H127" s="103" t="n">
        <v>1034466.173252176</v>
      </c>
      <c r="I127" s="103" t="n">
        <v>73163</v>
      </c>
      <c r="J127" s="104">
        <f>I127/H127</f>
        <v/>
      </c>
      <c r="K127" s="103" t="n">
        <v>305746</v>
      </c>
      <c r="L127" s="104">
        <f>I127/K127-1</f>
        <v/>
      </c>
      <c r="M127" s="103" t="n">
        <v>941401.0864239712</v>
      </c>
      <c r="N127" s="103" t="n">
        <v>35055</v>
      </c>
      <c r="O127" s="104">
        <f>N127/M127</f>
        <v/>
      </c>
      <c r="P127" s="103" t="n">
        <v>583567</v>
      </c>
      <c r="Q127" s="104">
        <f>N127/P127-1</f>
        <v/>
      </c>
      <c r="R127" s="103" t="n">
        <v>1277129.857450166</v>
      </c>
      <c r="S127" s="103" t="n">
        <v>56296</v>
      </c>
      <c r="T127" s="104">
        <f>S127/R127</f>
        <v/>
      </c>
      <c r="U127" s="103" t="n">
        <v>390057</v>
      </c>
      <c r="V127" s="104">
        <f>S127/U127-1</f>
        <v/>
      </c>
      <c r="W127" s="103" t="n">
        <v>1221699.818848382</v>
      </c>
      <c r="X127" s="103" t="n">
        <v>13400.22</v>
      </c>
      <c r="Y127" s="104">
        <f>X127/W127</f>
        <v/>
      </c>
      <c r="Z127" s="103" t="n">
        <v>190717.69</v>
      </c>
      <c r="AA127" s="104">
        <f>X127/Z127-1</f>
        <v/>
      </c>
      <c r="AB127" s="103" t="n">
        <v>1247303.514881422</v>
      </c>
      <c r="AC127" s="103" t="n">
        <v>5148.5</v>
      </c>
      <c r="AD127" s="104">
        <f>AC127/AB127</f>
        <v/>
      </c>
      <c r="AE127" s="103" t="n">
        <v>59649.87</v>
      </c>
      <c r="AF127" s="104">
        <f>AC127/AE127-1</f>
        <v/>
      </c>
      <c r="AG127" s="103" t="n">
        <v>877682.6453199139</v>
      </c>
      <c r="AH127" s="103" t="n">
        <v>742</v>
      </c>
      <c r="AI127" s="104">
        <f>AH127/AG127</f>
        <v/>
      </c>
      <c r="AJ127" s="103" t="n">
        <v>45361.72</v>
      </c>
      <c r="AK127" s="104">
        <f>AH127/AJ127-1</f>
        <v/>
      </c>
    </row>
    <row r="129" ht="13.5" customHeight="1">
      <c r="B129" s="1" t="inlineStr">
        <is>
          <t>高价值</t>
        </is>
      </c>
    </row>
    <row r="130" ht="13.5" customHeight="1">
      <c r="B130" s="1" t="inlineStr">
        <is>
          <t>MTD</t>
        </is>
      </c>
      <c r="C130" s="13" t="inlineStr">
        <is>
          <t>https://vman.vip.vip.com/vman/analysis/share/open_share_link?key=2edc9c33f8800ad38c4a97df9046a58a</t>
        </is>
      </c>
    </row>
    <row r="131" ht="13.5" customHeight="1">
      <c r="B131" s="88" t="inlineStr">
        <is>
          <t>小组</t>
        </is>
      </c>
      <c r="C131" s="102" t="inlineStr">
        <is>
          <t>月度目标</t>
        </is>
      </c>
      <c r="D131" s="102" t="inlineStr">
        <is>
          <t>月度完成</t>
        </is>
      </c>
      <c r="E131" s="102" t="inlineStr">
        <is>
          <t>月完成率</t>
        </is>
      </c>
      <c r="F131" s="102" t="inlineStr">
        <is>
          <t>同期</t>
        </is>
      </c>
      <c r="G131" s="102" t="inlineStr">
        <is>
          <t>业绩同比</t>
        </is>
      </c>
      <c r="H131" s="102" t="inlineStr">
        <is>
          <t>阶段目标</t>
        </is>
      </c>
      <c r="I131" s="102" t="inlineStr">
        <is>
          <t>阶段完成</t>
        </is>
      </c>
    </row>
    <row r="132">
      <c r="B132" s="4" t="inlineStr">
        <is>
          <t>精品总</t>
        </is>
      </c>
      <c r="C132" s="103">
        <f>SUM(C133:C135)</f>
        <v/>
      </c>
      <c r="D132" s="103">
        <f>SUM(D133:D135)</f>
        <v/>
      </c>
      <c r="E132" s="104">
        <f>D132/C132</f>
        <v/>
      </c>
      <c r="F132" s="103">
        <f>SUM(F133:F135)</f>
        <v/>
      </c>
      <c r="G132" s="104">
        <f>D132/F132-1</f>
        <v/>
      </c>
      <c r="H132" s="103">
        <f>SUM(H133:H135)</f>
        <v/>
      </c>
      <c r="I132" s="104">
        <f>D132/H132</f>
        <v/>
      </c>
    </row>
    <row r="133">
      <c r="B133" s="4" t="inlineStr">
        <is>
          <t>海淘组</t>
        </is>
      </c>
      <c r="C133" s="103" t="n">
        <v>5287223.365515797</v>
      </c>
      <c r="D133" s="103" t="n">
        <v>2217462.22</v>
      </c>
      <c r="E133" s="104">
        <f>D133/C133</f>
        <v/>
      </c>
      <c r="F133" s="103" t="n">
        <v>1148677.25</v>
      </c>
      <c r="G133" s="104">
        <f>D133/F133-1</f>
        <v/>
      </c>
      <c r="H133" s="103">
        <f>C133*H12/C12</f>
        <v/>
      </c>
      <c r="I133" s="104">
        <f>D133/H133</f>
        <v/>
      </c>
    </row>
    <row r="134">
      <c r="B134" s="4" t="inlineStr">
        <is>
          <t>饰品1组</t>
        </is>
      </c>
      <c r="C134" s="103" t="n">
        <v>1413193.749498916</v>
      </c>
      <c r="D134" s="103" t="n">
        <v>521141.55</v>
      </c>
      <c r="E134" s="104">
        <f>D134/C134</f>
        <v/>
      </c>
      <c r="F134" s="103" t="n">
        <v>303834.57</v>
      </c>
      <c r="G134" s="104">
        <f>D134/F134-1</f>
        <v/>
      </c>
      <c r="H134" s="103">
        <f>C134*H12/C12</f>
        <v/>
      </c>
      <c r="I134" s="104">
        <f>D134/H134</f>
        <v/>
      </c>
    </row>
    <row r="135">
      <c r="B135" s="4" t="inlineStr">
        <is>
          <t>饰品2组</t>
        </is>
      </c>
      <c r="C135" s="103" t="n">
        <v>25295560.50239647</v>
      </c>
      <c r="D135" s="103" t="n">
        <v>9187479.369999999</v>
      </c>
      <c r="E135" s="104">
        <f>D135/C135</f>
        <v/>
      </c>
      <c r="F135" s="103" t="n">
        <v>11601360.87</v>
      </c>
      <c r="G135" s="104">
        <f>D135/F135-1</f>
        <v/>
      </c>
      <c r="H135" s="103">
        <f>C135*H12/C12</f>
        <v/>
      </c>
      <c r="I135" s="104">
        <f>D135/H135</f>
        <v/>
      </c>
    </row>
    <row r="137" ht="13.5" customHeight="1">
      <c r="B137" s="1" t="inlineStr">
        <is>
          <t>历史月份完成</t>
        </is>
      </c>
    </row>
    <row r="138" ht="14" customHeight="1">
      <c r="B138" s="88" t="inlineStr">
        <is>
          <t>小组</t>
        </is>
      </c>
      <c r="C138" s="81" t="inlineStr">
        <is>
          <t>YTD</t>
        </is>
      </c>
      <c r="D138" s="79" t="n"/>
      <c r="E138" s="79" t="n"/>
      <c r="F138" s="79" t="n"/>
      <c r="G138" s="80" t="n"/>
      <c r="H138" s="105" t="inlineStr">
        <is>
          <t>7月</t>
        </is>
      </c>
      <c r="I138" s="79" t="n"/>
      <c r="J138" s="79" t="n"/>
      <c r="K138" s="79" t="n"/>
      <c r="L138" s="80" t="n"/>
    </row>
    <row r="139" ht="13.5" customHeight="1">
      <c r="B139" s="82" t="n"/>
      <c r="C139" s="102" t="inlineStr">
        <is>
          <t>YTD目标</t>
        </is>
      </c>
      <c r="D139" s="102" t="inlineStr">
        <is>
          <t>YTD完成</t>
        </is>
      </c>
      <c r="E139" s="102" t="inlineStr">
        <is>
          <t>YTD完成率</t>
        </is>
      </c>
      <c r="F139" s="102" t="inlineStr">
        <is>
          <t>YTD同期</t>
        </is>
      </c>
      <c r="G139" s="102" t="inlineStr">
        <is>
          <t>YTD业绩同比</t>
        </is>
      </c>
      <c r="H139" s="105" t="inlineStr">
        <is>
          <t>7月目标</t>
        </is>
      </c>
      <c r="I139" s="105" t="inlineStr">
        <is>
          <t>7月完成</t>
        </is>
      </c>
      <c r="J139" s="105" t="inlineStr">
        <is>
          <t>7月完成率</t>
        </is>
      </c>
      <c r="K139" s="105" t="inlineStr">
        <is>
          <t>同期</t>
        </is>
      </c>
      <c r="L139" s="105" t="inlineStr">
        <is>
          <t>业绩同比</t>
        </is>
      </c>
    </row>
    <row r="140">
      <c r="B140" s="4" t="inlineStr">
        <is>
          <t>精品总</t>
        </is>
      </c>
      <c r="C140" s="103">
        <f>SUM(C141:C143)</f>
        <v/>
      </c>
      <c r="D140" s="103">
        <f>SUM(D141:D143)</f>
        <v/>
      </c>
      <c r="E140" s="104">
        <f>D140/C140</f>
        <v/>
      </c>
      <c r="F140" s="103">
        <f>SUM(F141:F143)</f>
        <v/>
      </c>
      <c r="G140" s="104">
        <f>D140/F140-1</f>
        <v/>
      </c>
      <c r="H140" s="103">
        <f>SUM(H141:H143)</f>
        <v/>
      </c>
      <c r="I140" s="103">
        <f>SUM(I141:I143)</f>
        <v/>
      </c>
      <c r="J140" s="104">
        <f>I140/H140</f>
        <v/>
      </c>
      <c r="K140" s="103">
        <f>SUM(K141:K143)</f>
        <v/>
      </c>
      <c r="L140" s="104">
        <f>I140/K140-1</f>
        <v/>
      </c>
    </row>
    <row r="141">
      <c r="B141" s="4" t="inlineStr">
        <is>
          <t>海淘组</t>
        </is>
      </c>
      <c r="C141" s="103">
        <f>H141+H133+M141+R141+W141+AB141+AG141</f>
        <v/>
      </c>
      <c r="D141" s="103">
        <f>I141+D133+N141+S141+X141+AC141+AH141</f>
        <v/>
      </c>
      <c r="E141" s="104">
        <f>D141/C141</f>
        <v/>
      </c>
      <c r="F141" s="103">
        <f>K141+F133+P141+U141+Z141+AE141+AJ141</f>
        <v/>
      </c>
      <c r="G141" s="104">
        <f>D141/F141-1</f>
        <v/>
      </c>
      <c r="H141" s="103" t="n"/>
      <c r="I141" s="103" t="n"/>
      <c r="J141" s="104">
        <f>I141/H141</f>
        <v/>
      </c>
      <c r="K141" s="103" t="n"/>
      <c r="L141" s="104">
        <f>I141/K141-1</f>
        <v/>
      </c>
    </row>
    <row r="142">
      <c r="B142" s="4" t="inlineStr">
        <is>
          <t>饰品1组</t>
        </is>
      </c>
      <c r="C142" s="103">
        <f>H142+H134+M142+R142+W142+AB142+AG142</f>
        <v/>
      </c>
      <c r="D142" s="103">
        <f>I142+D134+N142+S142+X142+AC142+AH142</f>
        <v/>
      </c>
      <c r="E142" s="104">
        <f>D142/C142</f>
        <v/>
      </c>
      <c r="F142" s="103">
        <f>K142+F134+P142+U142+Z142+AE142+AJ142</f>
        <v/>
      </c>
      <c r="G142" s="104">
        <f>D142/F142-1</f>
        <v/>
      </c>
      <c r="H142" s="103" t="n"/>
      <c r="I142" s="103" t="n"/>
      <c r="J142" s="104">
        <f>I142/H142</f>
        <v/>
      </c>
      <c r="K142" s="103" t="n"/>
      <c r="L142" s="104">
        <f>I142/K142-1</f>
        <v/>
      </c>
    </row>
    <row r="143">
      <c r="B143" s="4" t="inlineStr">
        <is>
          <t>饰品2组</t>
        </is>
      </c>
      <c r="C143" s="103">
        <f>H143+H135+M143+R143+W143+AB143+AG143</f>
        <v/>
      </c>
      <c r="D143" s="103">
        <f>I143+D135+N143+S143+X143+AC143+AH143</f>
        <v/>
      </c>
      <c r="E143" s="104">
        <f>D143/C143</f>
        <v/>
      </c>
      <c r="F143" s="103">
        <f>K143+F135+P143+U143+Z143+AE143+AJ143</f>
        <v/>
      </c>
      <c r="G143" s="104">
        <f>D143/F143-1</f>
        <v/>
      </c>
      <c r="H143" s="103" t="n"/>
      <c r="I143" s="103" t="n"/>
      <c r="J143" s="104">
        <f>I143/H143</f>
        <v/>
      </c>
      <c r="K143" s="103" t="n"/>
      <c r="L143" s="104">
        <f>I143/K143-1</f>
        <v/>
      </c>
    </row>
    <row r="144">
      <c r="C144" s="106" t="n"/>
      <c r="D144" s="106" t="n"/>
      <c r="E144" s="115" t="n"/>
      <c r="F144" s="106" t="n"/>
      <c r="G144" s="115" t="n"/>
    </row>
    <row r="145" ht="13.5" customHeight="1">
      <c r="B145" s="35" t="inlineStr">
        <is>
          <t>五星价格力&amp;大爆款效率</t>
        </is>
      </c>
    </row>
    <row r="146" ht="13.5" customHeight="1">
      <c r="B146" s="1" t="inlineStr">
        <is>
          <t>MTD</t>
        </is>
      </c>
    </row>
    <row r="147" ht="13.5" customHeight="1">
      <c r="B147" s="88" t="inlineStr">
        <is>
          <t>小组</t>
        </is>
      </c>
      <c r="C147" s="95" t="inlineStr">
        <is>
          <t>商品占比</t>
        </is>
      </c>
      <c r="D147" s="80" t="n"/>
      <c r="E147" s="81" t="inlineStr">
        <is>
          <t>APP销售占比/ APP曝光占比</t>
        </is>
      </c>
      <c r="F147" s="79" t="n"/>
      <c r="G147" s="79" t="n"/>
      <c r="H147" s="80" t="n"/>
    </row>
    <row r="148" ht="13.5" customHeight="1">
      <c r="B148" s="82" t="n"/>
      <c r="C148" s="95" t="inlineStr">
        <is>
          <t>曝光</t>
        </is>
      </c>
      <c r="D148" s="95" t="inlineStr">
        <is>
          <t>APP销售</t>
        </is>
      </c>
      <c r="E148" s="81" t="inlineStr">
        <is>
          <t>实际</t>
        </is>
      </c>
      <c r="F148" s="81" t="inlineStr">
        <is>
          <t>目标</t>
        </is>
      </c>
      <c r="G148" s="81" t="inlineStr">
        <is>
          <t>VS目标差距</t>
        </is>
      </c>
      <c r="H148" s="81" t="inlineStr">
        <is>
          <t>完成率</t>
        </is>
      </c>
      <c r="I148" s="45" t="inlineStr">
        <is>
          <t>曝光</t>
        </is>
      </c>
      <c r="J148" s="45" t="inlineStr">
        <is>
          <t>APP销售</t>
        </is>
      </c>
    </row>
    <row r="149">
      <c r="B149" s="4" t="inlineStr">
        <is>
          <t>四五星</t>
        </is>
      </c>
      <c r="C149" s="116" t="n">
        <v>0.2109305926466908</v>
      </c>
      <c r="D149" s="116" t="n">
        <v>0.333069</v>
      </c>
      <c r="E149" s="20">
        <f>D149/C149</f>
        <v/>
      </c>
      <c r="F149" s="20" t="n">
        <v>2.037636278655495</v>
      </c>
      <c r="G149" s="21">
        <f>E149-F149</f>
        <v/>
      </c>
      <c r="H149" s="104">
        <f>E149/F149</f>
        <v/>
      </c>
      <c r="I149" s="106" t="n">
        <v>7848911.466666667</v>
      </c>
      <c r="J149" s="106" t="n">
        <v>1469871.58898</v>
      </c>
      <c r="K149" s="13" t="inlineStr">
        <is>
          <t>调整S3的热销度阈值，从而影响星级。也可以针对指定商品进行热销度打压；支持指定商品热销度扶到优良</t>
        </is>
      </c>
    </row>
    <row r="150">
      <c r="B150" s="4" t="inlineStr">
        <is>
          <t>大爆款</t>
        </is>
      </c>
      <c r="C150" s="116" t="n">
        <v>0.006752232719069173</v>
      </c>
      <c r="D150" s="116" t="n">
        <v>0.02843437961289845</v>
      </c>
      <c r="E150" s="20">
        <f>D150/C150</f>
        <v/>
      </c>
      <c r="F150" s="20" t="n">
        <v>2.9061</v>
      </c>
      <c r="G150" s="21">
        <f>E150-F150</f>
        <v/>
      </c>
      <c r="H150" s="104">
        <f>E150/F150</f>
        <v/>
      </c>
      <c r="I150" s="106" t="n">
        <v>5270625</v>
      </c>
      <c r="J150" s="106" t="n">
        <v>2725288.33066</v>
      </c>
    </row>
    <row r="152" ht="13.5" customHeight="1">
      <c r="B152" s="1" t="inlineStr">
        <is>
          <t>历史月份</t>
        </is>
      </c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</row>
    <row r="153" ht="13.5" customHeight="1">
      <c r="B153" s="90" t="inlineStr">
        <is>
          <t>时间</t>
        </is>
      </c>
      <c r="C153" s="90" t="inlineStr">
        <is>
          <t>维度</t>
        </is>
      </c>
      <c r="D153" s="85" t="inlineStr">
        <is>
          <t>四五星商品</t>
        </is>
      </c>
      <c r="E153" s="86" t="n"/>
      <c r="F153" s="86" t="n"/>
      <c r="G153" s="86" t="n"/>
      <c r="H153" s="92" t="inlineStr">
        <is>
          <t xml:space="preserve"> 四五星APP销售占比/ 四五星APP曝光占比</t>
        </is>
      </c>
      <c r="I153" s="86" t="n"/>
      <c r="J153" s="86" t="n"/>
      <c r="K153" s="93" t="n"/>
      <c r="W153" s="106" t="n"/>
      <c r="X153" s="106" t="n"/>
    </row>
    <row r="154" ht="13.5" customHeight="1">
      <c r="B154" s="82" t="n"/>
      <c r="C154" s="82" t="n"/>
      <c r="D154" s="30" t="inlineStr">
        <is>
          <t>曝光</t>
        </is>
      </c>
      <c r="E154" s="31" t="inlineStr">
        <is>
          <t>曝光占比</t>
        </is>
      </c>
      <c r="F154" s="31" t="inlineStr">
        <is>
          <t>APP销售</t>
        </is>
      </c>
      <c r="G154" s="31" t="inlineStr">
        <is>
          <t>APP销售占比</t>
        </is>
      </c>
      <c r="H154" s="24" t="inlineStr">
        <is>
          <t>实际</t>
        </is>
      </c>
      <c r="I154" s="22" t="inlineStr">
        <is>
          <t>目标</t>
        </is>
      </c>
      <c r="J154" s="22" t="inlineStr">
        <is>
          <t>VS目标差距</t>
        </is>
      </c>
      <c r="K154" s="23" t="inlineStr">
        <is>
          <t>完成率</t>
        </is>
      </c>
      <c r="W154" s="106" t="n"/>
      <c r="X154" s="106" t="n"/>
    </row>
    <row r="155">
      <c r="B155" s="83" t="inlineStr">
        <is>
          <t>YTD</t>
        </is>
      </c>
      <c r="C155" s="32" t="inlineStr">
        <is>
          <t>四五星</t>
        </is>
      </c>
      <c r="D155" s="117" t="n">
        <v>18889646.2295082</v>
      </c>
      <c r="E155" s="118" t="n">
        <v>0.291232403180687</v>
      </c>
      <c r="F155" s="119" t="n">
        <v>3370958.362873</v>
      </c>
      <c r="G155" s="120" t="n">
        <v>0.42709</v>
      </c>
      <c r="H155" s="27">
        <f>AVERAGE(H157,H159,H161,H163)</f>
        <v/>
      </c>
      <c r="I155" s="28">
        <f>AVERAGE(I157,I159,I161,I163)</f>
        <v/>
      </c>
      <c r="J155" s="36">
        <f>H155-I155</f>
        <v/>
      </c>
      <c r="K155" s="121">
        <f>H155/I155</f>
        <v/>
      </c>
      <c r="L155" s="45" t="inlineStr">
        <is>
          <t>截止6月</t>
        </is>
      </c>
      <c r="W155" s="106" t="n"/>
      <c r="X155" s="106" t="n"/>
    </row>
    <row r="156">
      <c r="B156" s="84" t="n"/>
      <c r="C156" s="33" t="inlineStr">
        <is>
          <t>大爆款</t>
        </is>
      </c>
      <c r="D156" s="122" t="n">
        <v>181189704</v>
      </c>
      <c r="E156" s="123" t="n">
        <v>0.03009872962749294</v>
      </c>
      <c r="F156" s="124" t="n">
        <v>51606641.73804</v>
      </c>
      <c r="G156" s="125" t="n">
        <v>0.06934500019560072</v>
      </c>
      <c r="H156" s="25">
        <f>G156/E156</f>
        <v/>
      </c>
      <c r="I156" s="26" t="n">
        <v>2.797809469211574</v>
      </c>
      <c r="J156" s="37">
        <f>H156-I156</f>
        <v/>
      </c>
      <c r="K156" s="126">
        <f>H156/I156</f>
        <v/>
      </c>
      <c r="L156" s="45" t="inlineStr">
        <is>
          <t>截止6月</t>
        </is>
      </c>
      <c r="M156" s="13" t="inlineStr">
        <is>
          <t>年度目标为季度目标</t>
        </is>
      </c>
      <c r="W156" s="106" t="n"/>
      <c r="X156" s="106" t="n"/>
    </row>
    <row r="157">
      <c r="B157" s="83" t="n">
        <v>202603</v>
      </c>
      <c r="C157" s="32" t="inlineStr">
        <is>
          <t>四五星</t>
        </is>
      </c>
      <c r="D157" s="117" t="n">
        <v>17700703.93548387</v>
      </c>
      <c r="E157" s="118" t="n">
        <v>0.2703117455274878</v>
      </c>
      <c r="F157" s="119" t="n">
        <v>3089444.761236</v>
      </c>
      <c r="G157" s="120" t="n">
        <v>0.396076</v>
      </c>
      <c r="H157" s="27">
        <f>G157/E157</f>
        <v/>
      </c>
      <c r="I157" s="28" t="n">
        <v>1.600861985934704</v>
      </c>
      <c r="J157" s="36">
        <f>H157-I157</f>
        <v/>
      </c>
      <c r="K157" s="121">
        <f>H157/I157</f>
        <v/>
      </c>
      <c r="R157" s="106" t="n"/>
      <c r="S157" s="106" t="n"/>
      <c r="T157" s="106" t="n"/>
      <c r="U157" s="106" t="n"/>
      <c r="V157" s="106" t="n"/>
      <c r="W157" s="106" t="n"/>
      <c r="X157" s="106" t="n"/>
    </row>
    <row r="158">
      <c r="B158" s="84" t="n"/>
      <c r="C158" s="33" t="inlineStr">
        <is>
          <t>大爆款</t>
        </is>
      </c>
      <c r="D158" s="122" t="inlineStr">
        <is>
          <t>-</t>
        </is>
      </c>
      <c r="E158" s="123" t="inlineStr">
        <is>
          <t>-</t>
        </is>
      </c>
      <c r="F158" s="124" t="inlineStr">
        <is>
          <t>-</t>
        </is>
      </c>
      <c r="G158" s="125" t="inlineStr">
        <is>
          <t>-</t>
        </is>
      </c>
      <c r="H158" s="25" t="inlineStr">
        <is>
          <t>-</t>
        </is>
      </c>
      <c r="I158" s="26" t="inlineStr">
        <is>
          <t>-</t>
        </is>
      </c>
      <c r="J158" s="37" t="inlineStr">
        <is>
          <t>-</t>
        </is>
      </c>
      <c r="K158" s="126" t="inlineStr">
        <is>
          <t>-</t>
        </is>
      </c>
      <c r="R158" s="106" t="n"/>
      <c r="S158" s="106" t="n"/>
      <c r="T158" s="106" t="n"/>
      <c r="U158" s="106" t="n"/>
      <c r="V158" s="106" t="n"/>
      <c r="W158" s="106" t="n"/>
      <c r="X158" s="106" t="n"/>
    </row>
    <row r="159">
      <c r="B159" s="83" t="n">
        <v>202604</v>
      </c>
      <c r="C159" s="32" t="inlineStr">
        <is>
          <t>四五星</t>
        </is>
      </c>
      <c r="D159" s="117" t="n">
        <v>21182826.43333333</v>
      </c>
      <c r="E159" s="118" t="n">
        <v>0.3079017379510623</v>
      </c>
      <c r="F159" s="119" t="n">
        <v>3685324.542055</v>
      </c>
      <c r="G159" s="120" t="n">
        <v>0.44492</v>
      </c>
      <c r="H159" s="27">
        <f>G159/E159</f>
        <v/>
      </c>
      <c r="I159" s="28" t="n">
        <v>1.475580183355523</v>
      </c>
      <c r="J159" s="36">
        <f>H159-I159</f>
        <v/>
      </c>
      <c r="K159" s="121">
        <f>H159/I159</f>
        <v/>
      </c>
      <c r="R159" s="106" t="n"/>
      <c r="S159" s="106" t="n"/>
      <c r="T159" s="106" t="n"/>
      <c r="U159" s="106" t="n"/>
      <c r="V159" s="106" t="n"/>
      <c r="W159" s="106" t="n"/>
      <c r="X159" s="106" t="n"/>
    </row>
    <row r="160">
      <c r="B160" s="84" t="n"/>
      <c r="C160" s="33" t="inlineStr">
        <is>
          <t>大爆款</t>
        </is>
      </c>
      <c r="D160" s="122" t="n">
        <v>69292171</v>
      </c>
      <c r="E160" s="123" t="n">
        <v>0.033638001976703</v>
      </c>
      <c r="F160" s="124" t="n">
        <v>18399991.36623</v>
      </c>
      <c r="G160" s="125" t="n">
        <v>0.07393417475544199</v>
      </c>
      <c r="H160" s="25">
        <f>G160/E160</f>
        <v/>
      </c>
      <c r="I160" s="26" t="n">
        <v>2.854660413500745</v>
      </c>
      <c r="J160" s="37">
        <f>H160-I160</f>
        <v/>
      </c>
      <c r="K160" s="126">
        <f>H160/I160</f>
        <v/>
      </c>
      <c r="R160" s="106" t="n"/>
      <c r="S160" s="106" t="n"/>
      <c r="T160" s="106" t="n"/>
      <c r="U160" s="106" t="n"/>
      <c r="V160" s="106" t="n"/>
      <c r="W160" s="106" t="n"/>
      <c r="X160" s="106" t="n"/>
    </row>
    <row r="161">
      <c r="B161" s="83" t="n">
        <v>202605</v>
      </c>
      <c r="C161" s="32" t="inlineStr">
        <is>
          <t>四五星</t>
        </is>
      </c>
      <c r="D161" s="117" t="n">
        <v>21012342.64516129</v>
      </c>
      <c r="E161" s="118" t="n">
        <v>0.299572290071605</v>
      </c>
      <c r="F161" s="119" t="n">
        <v>3995314.467162</v>
      </c>
      <c r="G161" s="120" t="n">
        <v>0.446377</v>
      </c>
      <c r="H161" s="27">
        <f>G161/E161</f>
        <v/>
      </c>
      <c r="I161" s="28" t="n">
        <v>1.504946264738081</v>
      </c>
      <c r="J161" s="36">
        <f>H161-I161</f>
        <v/>
      </c>
      <c r="K161" s="121">
        <f>H161/I161</f>
        <v/>
      </c>
      <c r="R161" s="106" t="n"/>
      <c r="S161" s="106" t="n"/>
      <c r="T161" s="106" t="n"/>
      <c r="U161" s="106" t="n"/>
      <c r="V161" s="106" t="n"/>
      <c r="W161" s="106" t="n"/>
      <c r="X161" s="106" t="n"/>
    </row>
    <row r="162">
      <c r="B162" s="84" t="n"/>
      <c r="C162" s="33" t="inlineStr">
        <is>
          <t>大爆款</t>
        </is>
      </c>
      <c r="D162" s="122" t="n">
        <v>71765955</v>
      </c>
      <c r="E162" s="123" t="n">
        <v>0.03303416828963741</v>
      </c>
      <c r="F162" s="124" t="n">
        <v>20920308.51444</v>
      </c>
      <c r="G162" s="125" t="n">
        <v>0.07545675809933333</v>
      </c>
      <c r="H162" s="25">
        <f>G162/E162</f>
        <v/>
      </c>
      <c r="I162" s="26" t="n">
        <v>2.84666285411277</v>
      </c>
      <c r="J162" s="37">
        <f>H162-I162</f>
        <v/>
      </c>
      <c r="K162" s="126">
        <f>H162/I162</f>
        <v/>
      </c>
      <c r="R162" s="106" t="n"/>
      <c r="S162" s="106" t="n"/>
      <c r="T162" s="106" t="n"/>
      <c r="U162" s="106" t="n"/>
      <c r="V162" s="106" t="n"/>
      <c r="W162" s="106" t="n"/>
      <c r="X162" s="106" t="n"/>
    </row>
    <row r="163">
      <c r="B163" s="83" t="n">
        <v>202606</v>
      </c>
      <c r="C163" s="32" t="inlineStr">
        <is>
          <t>四五星</t>
        </is>
      </c>
      <c r="D163" s="117" t="n">
        <v>15741177.36666667</v>
      </c>
      <c r="E163" s="118" t="n">
        <v>0.2868296918382992</v>
      </c>
      <c r="F163" s="119" t="n">
        <v>2717759.051446</v>
      </c>
      <c r="G163" s="120" t="n">
        <v>0.40581</v>
      </c>
      <c r="H163" s="27">
        <f>G163/E163</f>
        <v/>
      </c>
      <c r="I163" s="28" t="n">
        <v>1.43436053516349</v>
      </c>
      <c r="J163" s="36">
        <f>H163-I163</f>
        <v/>
      </c>
      <c r="K163" s="121">
        <f>H163/I163</f>
        <v/>
      </c>
      <c r="R163" s="106" t="n"/>
      <c r="S163" s="106" t="n"/>
      <c r="T163" s="106" t="n"/>
      <c r="U163" s="106" t="n"/>
      <c r="V163" s="106" t="n"/>
      <c r="W163" s="106" t="n"/>
      <c r="X163" s="106" t="n"/>
    </row>
    <row r="164">
      <c r="B164" s="84" t="n"/>
      <c r="C164" s="33" t="inlineStr">
        <is>
          <t>大爆款</t>
        </is>
      </c>
      <c r="D164" s="122" t="n">
        <v>40131578</v>
      </c>
      <c r="E164" s="123" t="n">
        <v>0.02252406628087918</v>
      </c>
      <c r="F164" s="124" t="n">
        <v>12390917.06322</v>
      </c>
      <c r="G164" s="125" t="n">
        <v>0.05670237454707937</v>
      </c>
      <c r="H164" s="25">
        <f>G164/E164</f>
        <v/>
      </c>
      <c r="I164" s="26" t="n">
        <v>2.67117526071116</v>
      </c>
      <c r="J164" s="37">
        <f>H164-I164</f>
        <v/>
      </c>
      <c r="K164" s="126">
        <f>H164/I164</f>
        <v/>
      </c>
      <c r="R164" s="106" t="n"/>
      <c r="S164" s="106" t="n"/>
      <c r="T164" s="106" t="n"/>
      <c r="U164" s="106" t="n"/>
      <c r="V164" s="106" t="n"/>
      <c r="W164" s="106" t="n"/>
      <c r="X164" s="106" t="n"/>
    </row>
    <row r="165">
      <c r="B165" s="83" t="n">
        <v>202607</v>
      </c>
      <c r="C165" s="32" t="inlineStr">
        <is>
          <t>四五星</t>
        </is>
      </c>
      <c r="D165" s="117" t="n"/>
      <c r="E165" s="118" t="n">
        <v>0</v>
      </c>
      <c r="F165" s="119" t="n"/>
      <c r="G165" s="120" t="n">
        <v>0</v>
      </c>
      <c r="H165" s="27">
        <f>G165/E165</f>
        <v/>
      </c>
      <c r="I165" s="28" t="n">
        <v>2.037636278655495</v>
      </c>
      <c r="J165" s="36">
        <f>H165-I165</f>
        <v/>
      </c>
      <c r="K165" s="121">
        <f>H165/I165</f>
        <v/>
      </c>
      <c r="R165" s="106" t="n"/>
      <c r="S165" s="106" t="n"/>
      <c r="T165" s="106" t="n"/>
      <c r="U165" s="106" t="n"/>
      <c r="V165" s="106" t="n"/>
      <c r="W165" s="106" t="n"/>
      <c r="X165" s="106" t="n"/>
    </row>
    <row r="166">
      <c r="B166" s="84" t="n"/>
      <c r="C166" s="33" t="inlineStr">
        <is>
          <t>大爆款</t>
        </is>
      </c>
      <c r="D166" s="122" t="n"/>
      <c r="E166" s="123" t="n"/>
      <c r="F166" s="124" t="n"/>
      <c r="G166" s="125" t="n"/>
      <c r="H166" s="25" t="n"/>
      <c r="I166" s="26" t="n">
        <v>2.906097719140475</v>
      </c>
      <c r="J166" s="37" t="n"/>
      <c r="K166" s="126">
        <f>H166/I166</f>
        <v/>
      </c>
      <c r="R166" s="106" t="n"/>
      <c r="S166" s="106" t="n"/>
      <c r="T166" s="106" t="n"/>
      <c r="U166" s="106" t="n"/>
      <c r="V166" s="106" t="n"/>
      <c r="W166" s="106" t="n"/>
      <c r="X166" s="106" t="n"/>
    </row>
    <row r="167">
      <c r="B167" s="83" t="n">
        <v>202608</v>
      </c>
      <c r="C167" s="32" t="inlineStr">
        <is>
          <t>四五星</t>
        </is>
      </c>
      <c r="D167" s="117" t="n"/>
      <c r="E167" s="118" t="n">
        <v>0</v>
      </c>
      <c r="F167" s="119" t="n"/>
      <c r="G167" s="120" t="n">
        <v>0</v>
      </c>
      <c r="H167" s="27">
        <f>G167/E167</f>
        <v/>
      </c>
      <c r="I167" s="28" t="n">
        <v>1.915152040533896</v>
      </c>
      <c r="J167" s="36">
        <f>H167-I167</f>
        <v/>
      </c>
      <c r="K167" s="121">
        <f>H167/I167</f>
        <v/>
      </c>
      <c r="R167" s="106" t="n"/>
      <c r="S167" s="106" t="n"/>
      <c r="T167" s="106" t="n"/>
      <c r="U167" s="106" t="n"/>
      <c r="V167" s="106" t="n"/>
      <c r="W167" s="106" t="n"/>
      <c r="X167" s="106" t="n"/>
    </row>
    <row r="168">
      <c r="B168" s="84" t="n"/>
      <c r="C168" s="33" t="inlineStr">
        <is>
          <t>大爆款</t>
        </is>
      </c>
      <c r="D168" s="122" t="n"/>
      <c r="E168" s="123" t="n"/>
      <c r="F168" s="124" t="n"/>
      <c r="G168" s="125" t="n"/>
      <c r="H168" s="25" t="n"/>
      <c r="I168" s="26" t="n">
        <v>2.872400701203584</v>
      </c>
      <c r="J168" s="37" t="n"/>
      <c r="K168" s="126">
        <f>H168/I168</f>
        <v/>
      </c>
      <c r="R168" s="106" t="n"/>
      <c r="S168" s="106" t="n"/>
      <c r="T168" s="106" t="n"/>
      <c r="U168" s="106" t="n"/>
      <c r="V168" s="106" t="n"/>
      <c r="W168" s="106" t="n"/>
      <c r="X168" s="106" t="n"/>
    </row>
    <row r="169">
      <c r="B169" s="83" t="n">
        <v>202609</v>
      </c>
      <c r="C169" s="32" t="inlineStr">
        <is>
          <t>四五星</t>
        </is>
      </c>
      <c r="D169" s="117" t="n"/>
      <c r="E169" s="118" t="n">
        <v>0</v>
      </c>
      <c r="F169" s="119" t="n"/>
      <c r="G169" s="120" t="n">
        <v>0</v>
      </c>
      <c r="H169" s="27">
        <f>G169/E169</f>
        <v/>
      </c>
      <c r="I169" s="28" t="n">
        <v>2.150895166910157</v>
      </c>
      <c r="J169" s="36">
        <f>H169-I169</f>
        <v/>
      </c>
      <c r="K169" s="121">
        <f>H169/I169</f>
        <v/>
      </c>
      <c r="R169" s="106" t="n"/>
      <c r="S169" s="106" t="n"/>
      <c r="T169" s="106" t="n"/>
      <c r="U169" s="106" t="n"/>
      <c r="V169" s="106" t="n"/>
      <c r="W169" s="106" t="n"/>
      <c r="X169" s="106" t="n"/>
    </row>
    <row r="170">
      <c r="B170" s="84" t="n"/>
      <c r="C170" s="33" t="inlineStr">
        <is>
          <t>大爆款</t>
        </is>
      </c>
      <c r="D170" s="122" t="n"/>
      <c r="E170" s="123" t="n"/>
      <c r="F170" s="124" t="n"/>
      <c r="G170" s="125" t="n"/>
      <c r="H170" s="25" t="n"/>
      <c r="I170" s="26" t="n">
        <v>3.438623462903604</v>
      </c>
      <c r="J170" s="37" t="n"/>
      <c r="K170" s="126">
        <f>H170/I170</f>
        <v/>
      </c>
      <c r="R170" s="106" t="n"/>
      <c r="S170" s="106" t="n"/>
      <c r="T170" s="106" t="n"/>
      <c r="U170" s="106" t="n"/>
      <c r="V170" s="106" t="n"/>
      <c r="W170" s="106" t="n"/>
      <c r="X170" s="106" t="n"/>
    </row>
    <row r="171">
      <c r="B171" s="83" t="n">
        <v>202610</v>
      </c>
      <c r="C171" s="32" t="inlineStr">
        <is>
          <t>四五星</t>
        </is>
      </c>
      <c r="D171" s="117" t="n"/>
      <c r="E171" s="118" t="n">
        <v>0</v>
      </c>
      <c r="F171" s="119" t="n"/>
      <c r="G171" s="120" t="n">
        <v>0</v>
      </c>
      <c r="H171" s="27">
        <f>G171/E171</f>
        <v/>
      </c>
      <c r="I171" s="28" t="n">
        <v>2.183939476285115</v>
      </c>
      <c r="J171" s="36">
        <f>H171-I171</f>
        <v/>
      </c>
      <c r="K171" s="121">
        <f>H171/I171</f>
        <v/>
      </c>
      <c r="R171" s="106" t="n"/>
      <c r="S171" s="106" t="n"/>
      <c r="T171" s="106" t="n"/>
      <c r="U171" s="106" t="n"/>
      <c r="V171" s="106" t="n"/>
      <c r="W171" s="106" t="n"/>
      <c r="X171" s="106" t="n"/>
    </row>
    <row r="172">
      <c r="B172" s="84" t="n"/>
      <c r="C172" s="33" t="inlineStr">
        <is>
          <t>大爆款</t>
        </is>
      </c>
      <c r="D172" s="122" t="n"/>
      <c r="E172" s="123" t="n"/>
      <c r="F172" s="124" t="n"/>
      <c r="G172" s="125" t="n"/>
      <c r="H172" s="25" t="n"/>
      <c r="I172" s="26" t="n">
        <v>3.137099502586245</v>
      </c>
      <c r="J172" s="37" t="n"/>
      <c r="K172" s="126">
        <f>H172/I172</f>
        <v/>
      </c>
      <c r="R172" s="106" t="n"/>
      <c r="S172" s="106" t="n"/>
      <c r="T172" s="106" t="n"/>
      <c r="U172" s="106" t="n"/>
      <c r="V172" s="106" t="n"/>
      <c r="W172" s="106" t="n"/>
      <c r="X172" s="106" t="n"/>
    </row>
    <row r="173">
      <c r="B173" s="83" t="n">
        <v>202611</v>
      </c>
      <c r="C173" s="32" t="inlineStr">
        <is>
          <t>四五星</t>
        </is>
      </c>
      <c r="D173" s="117" t="n"/>
      <c r="E173" s="118" t="n">
        <v>0</v>
      </c>
      <c r="F173" s="119" t="n"/>
      <c r="G173" s="120" t="n">
        <v>0</v>
      </c>
      <c r="H173" s="27">
        <f>G173/E173</f>
        <v/>
      </c>
      <c r="I173" s="28" t="n">
        <v>2.306241331604699</v>
      </c>
      <c r="J173" s="36">
        <f>H173-I173</f>
        <v/>
      </c>
      <c r="K173" s="121">
        <f>H173/I173</f>
        <v/>
      </c>
      <c r="R173" s="106" t="n"/>
      <c r="S173" s="106" t="n"/>
      <c r="T173" s="106" t="n"/>
      <c r="U173" s="106" t="n"/>
      <c r="V173" s="106" t="n"/>
      <c r="W173" s="106" t="n"/>
      <c r="X173" s="106" t="n"/>
    </row>
    <row r="174">
      <c r="B174" s="84" t="n"/>
      <c r="C174" s="33" t="inlineStr">
        <is>
          <t>大爆款</t>
        </is>
      </c>
      <c r="D174" s="122" t="n"/>
      <c r="E174" s="123" t="n"/>
      <c r="F174" s="124" t="n"/>
      <c r="G174" s="125" t="n"/>
      <c r="H174" s="25" t="n"/>
      <c r="I174" s="26" t="n">
        <v>3.588002118227247</v>
      </c>
      <c r="J174" s="37" t="n"/>
      <c r="K174" s="126">
        <f>H174/I174</f>
        <v/>
      </c>
      <c r="R174" s="106" t="n"/>
      <c r="S174" s="106" t="n"/>
      <c r="T174" s="106" t="n"/>
      <c r="U174" s="106" t="n"/>
      <c r="V174" s="106" t="n"/>
      <c r="W174" s="106" t="n"/>
      <c r="X174" s="106" t="n"/>
    </row>
    <row r="175">
      <c r="B175" s="96" t="n">
        <v>202612</v>
      </c>
      <c r="C175" s="32" t="inlineStr">
        <is>
          <t>四五星</t>
        </is>
      </c>
      <c r="D175" s="117" t="n"/>
      <c r="E175" s="118" t="n">
        <v>0</v>
      </c>
      <c r="F175" s="119" t="n"/>
      <c r="G175" s="120" t="n">
        <v>0</v>
      </c>
      <c r="H175" s="27">
        <f>G175/E175</f>
        <v/>
      </c>
      <c r="I175" s="28" t="n">
        <v>2.543146784343203</v>
      </c>
      <c r="J175" s="36">
        <f>H175-I175</f>
        <v/>
      </c>
      <c r="K175" s="121">
        <f>H175/I175</f>
        <v/>
      </c>
      <c r="R175" s="106" t="n"/>
      <c r="S175" s="106" t="n"/>
      <c r="T175" s="106" t="n"/>
      <c r="U175" s="106" t="n"/>
      <c r="V175" s="106" t="n"/>
      <c r="W175" s="106" t="n"/>
      <c r="X175" s="106" t="n"/>
    </row>
    <row r="176">
      <c r="B176" s="82" t="n"/>
      <c r="C176" s="34" t="inlineStr">
        <is>
          <t>大爆款</t>
        </is>
      </c>
      <c r="D176" s="127" t="n"/>
      <c r="E176" s="128" t="n"/>
      <c r="F176" s="129" t="n"/>
      <c r="G176" s="130" t="n"/>
      <c r="H176" s="25" t="n"/>
      <c r="I176" s="26" t="n">
        <v>3.882475428854744</v>
      </c>
      <c r="J176" s="37" t="n"/>
      <c r="K176" s="126">
        <f>H176/I176</f>
        <v/>
      </c>
      <c r="R176" s="106" t="n"/>
      <c r="S176" s="106" t="n"/>
      <c r="T176" s="106" t="n"/>
      <c r="U176" s="106" t="n"/>
      <c r="V176" s="106" t="n"/>
      <c r="W176" s="106" t="n"/>
      <c r="X176" s="106" t="n"/>
    </row>
  </sheetData>
  <mergeCells count="66">
    <mergeCell ref="B122:B123"/>
    <mergeCell ref="B155:B156"/>
    <mergeCell ref="L44:O44"/>
    <mergeCell ref="N55:X55"/>
    <mergeCell ref="AB15:AF15"/>
    <mergeCell ref="B165:B166"/>
    <mergeCell ref="C15:G15"/>
    <mergeCell ref="B102:B103"/>
    <mergeCell ref="W15:AA15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C67:E67"/>
    <mergeCell ref="AB102:AF102"/>
    <mergeCell ref="AB122:AF122"/>
    <mergeCell ref="B15:B16"/>
    <mergeCell ref="B44:B45"/>
    <mergeCell ref="H44:K44"/>
    <mergeCell ref="B171:B172"/>
    <mergeCell ref="O67:Q67"/>
    <mergeCell ref="B147:B148"/>
    <mergeCell ref="H138:L138"/>
    <mergeCell ref="U67:W67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B138:B139"/>
    <mergeCell ref="AG122:AK122"/>
    <mergeCell ref="R122:V122"/>
    <mergeCell ref="L67:N67"/>
    <mergeCell ref="C122:G122"/>
    <mergeCell ref="R67:T67"/>
    <mergeCell ref="B163:B164"/>
    <mergeCell ref="AJ55:AT55"/>
    <mergeCell ref="H15:L15"/>
    <mergeCell ref="B169:B170"/>
    <mergeCell ref="X67:Z67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35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priority="231" operator="lessThan" dxfId="10">
      <formula>0</formula>
    </cfRule>
    <cfRule type="iconSet" priority="243">
      <iconSet iconSet="3Symbols2">
        <cfvo type="percent" val="0"/>
        <cfvo type="num" val="0"/>
        <cfvo type="num" val="0"/>
      </iconSet>
    </cfRule>
  </conditionalFormatting>
  <conditionalFormatting sqref="J39">
    <cfRule type="cellIs" priority="228" operator="lessThan" dxfId="10">
      <formula>0</formula>
    </cfRule>
    <cfRule type="iconSet" priority="229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22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225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211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2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209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208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207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206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20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203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202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201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200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198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197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196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195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193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189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185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priority="176" operator="lessThan" dxfId="0">
      <formula>0</formula>
    </cfRule>
  </conditionalFormatting>
  <conditionalFormatting sqref="K180">
    <cfRule type="cellIs" priority="174" operator="lessThan" dxfId="0">
      <formula>0</formula>
    </cfRule>
  </conditionalFormatting>
  <conditionalFormatting sqref="K188:K193">
    <cfRule type="cellIs" priority="150" operator="lessThan" dxfId="0">
      <formula>0</formula>
    </cfRule>
  </conditionalFormatting>
  <conditionalFormatting sqref="K202:K207">
    <cfRule type="cellIs" priority="146" operator="lessThan" dxfId="0">
      <formula>0</formula>
    </cfRule>
  </conditionalFormatting>
  <conditionalFormatting sqref="K181:K186">
    <cfRule type="cellIs" priority="155" operator="lessThan" dxfId="0">
      <formula>0</formula>
    </cfRule>
  </conditionalFormatting>
  <conditionalFormatting sqref="K195:K200">
    <cfRule type="cellIs" priority="148" operator="lessThan" dxfId="0">
      <formula>0</formula>
    </cfRule>
  </conditionalFormatting>
  <conditionalFormatting sqref="K194">
    <cfRule type="cellIs" priority="149" operator="lessThan" dxfId="0">
      <formula>0</formula>
    </cfRule>
  </conditionalFormatting>
  <conditionalFormatting sqref="K187">
    <cfRule type="cellIs" priority="151" operator="lessThan" dxfId="0">
      <formula>0</formula>
    </cfRule>
  </conditionalFormatting>
  <conditionalFormatting sqref="K201">
    <cfRule type="cellIs" priority="147" operator="lessThan" dxfId="0">
      <formula>0</formula>
    </cfRule>
  </conditionalFormatting>
  <conditionalFormatting sqref="E116:E119">
    <cfRule type="iconSet" priority="145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144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139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138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136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134">
      <iconSet iconSet="3Arrows">
        <cfvo type="percent" val="0"/>
        <cfvo type="num" val="0"/>
        <cfvo type="num" val="0"/>
      </iconSet>
    </cfRule>
  </conditionalFormatting>
  <conditionalFormatting sqref="U159:U160">
    <cfRule type="cellIs" priority="131" operator="lessThan" dxfId="0">
      <formula>0</formula>
    </cfRule>
  </conditionalFormatting>
  <conditionalFormatting sqref="U161:U162">
    <cfRule type="cellIs" priority="130" operator="lessThan" dxfId="0">
      <formula>0</formula>
    </cfRule>
  </conditionalFormatting>
  <conditionalFormatting sqref="U163:U164">
    <cfRule type="cellIs" priority="129" operator="lessThan" dxfId="0">
      <formula>0</formula>
    </cfRule>
  </conditionalFormatting>
  <conditionalFormatting sqref="U165:U166">
    <cfRule type="cellIs" priority="128" operator="lessThan" dxfId="0">
      <formula>0</formula>
    </cfRule>
  </conditionalFormatting>
  <conditionalFormatting sqref="U167:U168">
    <cfRule type="cellIs" priority="127" operator="lessThan" dxfId="0">
      <formula>0</formula>
    </cfRule>
  </conditionalFormatting>
  <conditionalFormatting sqref="U169:U170">
    <cfRule type="cellIs" priority="126" operator="lessThan" dxfId="0">
      <formula>0</formula>
    </cfRule>
  </conditionalFormatting>
  <conditionalFormatting sqref="U171:U172">
    <cfRule type="cellIs" priority="125" operator="lessThan" dxfId="0">
      <formula>0</formula>
    </cfRule>
  </conditionalFormatting>
  <conditionalFormatting sqref="U173:U174">
    <cfRule type="cellIs" priority="124" operator="lessThan" dxfId="0">
      <formula>0</formula>
    </cfRule>
  </conditionalFormatting>
  <conditionalFormatting sqref="U175:U176">
    <cfRule type="cellIs" priority="123" operator="lessThan" dxfId="0">
      <formula>0</formula>
    </cfRule>
  </conditionalFormatting>
  <conditionalFormatting sqref="S180">
    <cfRule type="cellIs" priority="122" operator="lessThan" dxfId="0">
      <formula>0</formula>
    </cfRule>
  </conditionalFormatting>
  <conditionalFormatting sqref="S188:S193">
    <cfRule type="cellIs" priority="119" operator="lessThan" dxfId="0">
      <formula>0</formula>
    </cfRule>
  </conditionalFormatting>
  <conditionalFormatting sqref="S202:S207">
    <cfRule type="cellIs" priority="115" operator="lessThan" dxfId="0">
      <formula>0</formula>
    </cfRule>
  </conditionalFormatting>
  <conditionalFormatting sqref="S181:S186">
    <cfRule type="cellIs" priority="121" operator="lessThan" dxfId="0">
      <formula>0</formula>
    </cfRule>
  </conditionalFormatting>
  <conditionalFormatting sqref="S195:S200">
    <cfRule type="cellIs" priority="117" operator="lessThan" dxfId="0">
      <formula>0</formula>
    </cfRule>
  </conditionalFormatting>
  <conditionalFormatting sqref="S194">
    <cfRule type="cellIs" priority="118" operator="lessThan" dxfId="0">
      <formula>0</formula>
    </cfRule>
  </conditionalFormatting>
  <conditionalFormatting sqref="S187">
    <cfRule type="cellIs" priority="120" operator="lessThan" dxfId="0">
      <formula>0</formula>
    </cfRule>
  </conditionalFormatting>
  <conditionalFormatting sqref="S201">
    <cfRule type="cellIs" priority="116" operator="lessThan" dxfId="0">
      <formula>0</formula>
    </cfRule>
  </conditionalFormatting>
  <conditionalFormatting sqref="J155:J156">
    <cfRule type="cellIs" priority="114" operator="lessThan" dxfId="0">
      <formula>0</formula>
    </cfRule>
  </conditionalFormatting>
  <conditionalFormatting sqref="T17:T23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101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100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9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95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93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90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89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88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87">
      <iconSet iconSet="3Symbols2">
        <cfvo type="percent" val="0"/>
        <cfvo type="num" val="1"/>
        <cfvo type="num" val="1"/>
      </iconSet>
    </cfRule>
  </conditionalFormatting>
  <conditionalFormatting sqref="J157:J158">
    <cfRule type="cellIs" priority="86" operator="lessThan" dxfId="0">
      <formula>0</formula>
    </cfRule>
  </conditionalFormatting>
  <conditionalFormatting sqref="K157:K158">
    <cfRule type="iconSet" priority="85">
      <iconSet iconSet="3Symbols2">
        <cfvo type="percent" val="0"/>
        <cfvo type="num" val="1"/>
        <cfvo type="num" val="1"/>
      </iconSet>
    </cfRule>
  </conditionalFormatting>
  <conditionalFormatting sqref="J159">
    <cfRule type="cellIs" priority="84" operator="lessThan" dxfId="0">
      <formula>0</formula>
    </cfRule>
  </conditionalFormatting>
  <conditionalFormatting sqref="K159:K160">
    <cfRule type="iconSet" priority="83">
      <iconSet iconSet="3Symbols2">
        <cfvo type="percent" val="0"/>
        <cfvo type="num" val="1"/>
        <cfvo type="num" val="1"/>
      </iconSet>
    </cfRule>
  </conditionalFormatting>
  <conditionalFormatting sqref="J161">
    <cfRule type="cellIs" priority="82" operator="lessThan" dxfId="0">
      <formula>0</formula>
    </cfRule>
  </conditionalFormatting>
  <conditionalFormatting sqref="K161:K162">
    <cfRule type="iconSet" priority="81">
      <iconSet iconSet="3Symbols2">
        <cfvo type="percent" val="0"/>
        <cfvo type="num" val="1"/>
        <cfvo type="num" val="1"/>
      </iconSet>
    </cfRule>
  </conditionalFormatting>
  <conditionalFormatting sqref="J163">
    <cfRule type="cellIs" priority="80" operator="lessThan" dxfId="0">
      <formula>0</formula>
    </cfRule>
  </conditionalFormatting>
  <conditionalFormatting sqref="K163:K164">
    <cfRule type="iconSet" priority="79">
      <iconSet iconSet="3Symbols2">
        <cfvo type="percent" val="0"/>
        <cfvo type="num" val="1"/>
        <cfvo type="num" val="1"/>
      </iconSet>
    </cfRule>
  </conditionalFormatting>
  <conditionalFormatting sqref="J165:J166">
    <cfRule type="cellIs" priority="78" operator="lessThan" dxfId="0">
      <formula>0</formula>
    </cfRule>
  </conditionalFormatting>
  <conditionalFormatting sqref="K165:K166">
    <cfRule type="iconSet" priority="77">
      <iconSet iconSet="3Symbols2">
        <cfvo type="percent" val="0"/>
        <cfvo type="num" val="1"/>
        <cfvo type="num" val="1"/>
      </iconSet>
    </cfRule>
  </conditionalFormatting>
  <conditionalFormatting sqref="J167:J168">
    <cfRule type="cellIs" priority="76" operator="lessThan" dxfId="0">
      <formula>0</formula>
    </cfRule>
  </conditionalFormatting>
  <conditionalFormatting sqref="K167:K168">
    <cfRule type="iconSet" priority="75">
      <iconSet iconSet="3Symbols2">
        <cfvo type="percent" val="0"/>
        <cfvo type="num" val="1"/>
        <cfvo type="num" val="1"/>
      </iconSet>
    </cfRule>
  </conditionalFormatting>
  <conditionalFormatting sqref="J169:J170">
    <cfRule type="cellIs" priority="74" operator="lessThan" dxfId="0">
      <formula>0</formula>
    </cfRule>
  </conditionalFormatting>
  <conditionalFormatting sqref="K169:K170">
    <cfRule type="iconSet" priority="73">
      <iconSet iconSet="3Symbols2">
        <cfvo type="percent" val="0"/>
        <cfvo type="num" val="1"/>
        <cfvo type="num" val="1"/>
      </iconSet>
    </cfRule>
  </conditionalFormatting>
  <conditionalFormatting sqref="J171:J172">
    <cfRule type="cellIs" priority="72" operator="lessThan" dxfId="0">
      <formula>0</formula>
    </cfRule>
  </conditionalFormatting>
  <conditionalFormatting sqref="K171:K172">
    <cfRule type="iconSet" priority="71">
      <iconSet iconSet="3Symbols2">
        <cfvo type="percent" val="0"/>
        <cfvo type="num" val="1"/>
        <cfvo type="num" val="1"/>
      </iconSet>
    </cfRule>
  </conditionalFormatting>
  <conditionalFormatting sqref="J173:J174">
    <cfRule type="cellIs" priority="70" operator="lessThan" dxfId="0">
      <formula>0</formula>
    </cfRule>
  </conditionalFormatting>
  <conditionalFormatting sqref="K173:K174">
    <cfRule type="iconSet" priority="69">
      <iconSet iconSet="3Symbols2">
        <cfvo type="percent" val="0"/>
        <cfvo type="num" val="1"/>
        <cfvo type="num" val="1"/>
      </iconSet>
    </cfRule>
  </conditionalFormatting>
  <conditionalFormatting sqref="J175:J176">
    <cfRule type="cellIs" priority="68" operator="lessThan" dxfId="0">
      <formula>0</formula>
    </cfRule>
  </conditionalFormatting>
  <conditionalFormatting sqref="K175:K176">
    <cfRule type="iconSet" priority="67">
      <iconSet iconSet="3Symbols2">
        <cfvo type="percent" val="0"/>
        <cfvo type="num" val="1"/>
        <cfvo type="num" val="1"/>
      </iconSet>
    </cfRule>
  </conditionalFormatting>
  <conditionalFormatting sqref="G150">
    <cfRule type="cellIs" priority="66" operator="lessThan" dxfId="0">
      <formula>0</formula>
    </cfRule>
  </conditionalFormatting>
  <conditionalFormatting sqref="H150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64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62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61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60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59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58">
      <iconSet iconSet="3Arrows">
        <cfvo type="percent" val="0"/>
        <cfvo type="num" val="0"/>
        <cfvo type="num" val="0"/>
      </iconSet>
    </cfRule>
  </conditionalFormatting>
  <conditionalFormatting sqref="J160">
    <cfRule type="cellIs" priority="57" operator="lessThan" dxfId="0">
      <formula>0</formula>
    </cfRule>
  </conditionalFormatting>
  <conditionalFormatting sqref="H32">
    <cfRule type="iconSet" priority="56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55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244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247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54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53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52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51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49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48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47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45">
      <iconSet iconSet="3Arrows">
        <cfvo type="percent" val="0"/>
        <cfvo type="num" val="0"/>
        <cfvo type="num" val="0"/>
      </iconSet>
    </cfRule>
  </conditionalFormatting>
  <conditionalFormatting sqref="J162">
    <cfRule type="cellIs" priority="44" operator="lessThan" dxfId="0">
      <formula>0</formula>
    </cfRule>
  </conditionalFormatting>
  <conditionalFormatting sqref="AI17:AI23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42">
      <iconSet iconSet="3Arrows">
        <cfvo type="percent" val="0"/>
        <cfvo type="num" val="0"/>
        <cfvo type="num" val="0"/>
      </iconSet>
    </cfRule>
  </conditionalFormatting>
  <conditionalFormatting sqref="J37">
    <cfRule type="cellIs" priority="40" operator="lessThan" dxfId="10">
      <formula>0</formula>
    </cfRule>
    <cfRule type="iconSet" priority="41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39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37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3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35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34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33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32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29">
      <iconSet iconSet="3Arrows">
        <cfvo type="percent" val="0"/>
        <cfvo type="num" val="0"/>
        <cfvo type="num" val="0"/>
      </iconSet>
    </cfRule>
  </conditionalFormatting>
  <conditionalFormatting sqref="J164">
    <cfRule type="cellIs" priority="28" operator="lessThan" dxfId="0">
      <formula>0</formula>
    </cfRule>
  </conditionalFormatting>
  <conditionalFormatting sqref="E132:E135">
    <cfRule type="iconSet" priority="27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2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25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24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23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22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21">
      <iconSet iconSet="3Arrows">
        <cfvo type="percent" val="0"/>
        <cfvo type="num" val="0"/>
        <cfvo type="num" val="0"/>
      </iconSet>
    </cfRule>
  </conditionalFormatting>
  <conditionalFormatting sqref="G81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G82:G87">
    <cfRule type="cellIs" priority="17" operator="greater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J81">
    <cfRule type="cellIs" priority="15" operator="greater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J82:J87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M81">
    <cfRule type="cellIs" priority="11" operator="less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M82:M87">
    <cfRule type="cellIs" priority="9" operator="lessThan" dxfId="0">
      <formula>0</formula>
    </cfRule>
    <cfRule type="iconSet" priority="10">
      <iconSet iconSet="3Arrows">
        <cfvo type="percent" val="0"/>
        <cfvo type="num" val="0"/>
        <cfvo type="num" val="0"/>
      </iconSet>
    </cfRule>
  </conditionalFormatting>
  <conditionalFormatting sqref="P81">
    <cfRule type="cellIs" priority="7" operator="greaterThan" dxfId="0">
      <formula>0</formula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P82:P87">
    <cfRule type="cellIs" priority="5" operator="greaterThan" dxfId="0">
      <formula>0</formula>
    </cfRule>
    <cfRule type="iconSet" priority="6">
      <iconSet iconSet="3Arrows">
        <cfvo type="percent" val="0"/>
        <cfvo type="num" val="0"/>
        <cfvo type="num" val="0"/>
      </iconSet>
    </cfRule>
  </conditionalFormatting>
  <conditionalFormatting sqref="J36">
    <cfRule type="cellIs" priority="3" operator="lessThan" dxfId="1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2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6"/>
  <headerFooter alignWithMargins="0">
    <oddHeader>&amp;L&amp;G&amp;C_x000a__x000a_&amp;R&amp;"宋体,加粗"_x000a_请标识密级</oddHeader>
    <oddFooter>&amp;L&amp;"宋体,常规"唯品会保密信息，未经许可不得扩散。&amp;R&amp;"宋体,常规"第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workbookViewId="0">
      <selection activeCell="M93" sqref="M93"/>
    </sheetView>
  </sheetViews>
  <sheetFormatPr baseColWidth="8" defaultRowHeight="14"/>
  <cols>
    <col width="10.08203125" customWidth="1" min="10" max="10"/>
  </cols>
  <sheetData>
    <row r="1">
      <c r="A1" s="45" t="n"/>
      <c r="B1" s="1" t="inlineStr">
        <is>
          <t>截止日期</t>
        </is>
      </c>
      <c r="C1" s="11" t="n">
        <v>46215</v>
      </c>
      <c r="D1" s="11" t="inlineStr">
        <is>
          <t>0点</t>
        </is>
      </c>
      <c r="E1" s="45" t="n"/>
      <c r="F1" s="13" t="n"/>
      <c r="G1" s="45" t="n"/>
      <c r="H1" s="45" t="n"/>
      <c r="I1" s="45" t="n"/>
      <c r="J1" s="45" t="n"/>
      <c r="K1" s="45" t="n"/>
      <c r="L1" s="45" t="n"/>
    </row>
    <row r="2">
      <c r="A2" s="45" t="n"/>
      <c r="B2" s="1" t="n"/>
      <c r="C2" s="11" t="n"/>
      <c r="D2" s="45" t="n"/>
      <c r="E2" s="45" t="n"/>
      <c r="F2" s="13" t="n"/>
      <c r="G2" s="45" t="n"/>
      <c r="H2" s="45" t="n"/>
      <c r="I2" s="45" t="n"/>
      <c r="J2" s="45" t="n"/>
      <c r="K2" s="45" t="n"/>
      <c r="L2" s="45" t="n"/>
    </row>
    <row r="3">
      <c r="A3" s="45" t="n"/>
      <c r="B3" s="1" t="inlineStr">
        <is>
          <t>自营销售</t>
        </is>
      </c>
      <c r="C3" s="11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</row>
    <row r="4">
      <c r="A4" s="45" t="n"/>
      <c r="B4" s="1" t="inlineStr">
        <is>
          <t>MTD</t>
        </is>
      </c>
      <c r="C4" s="11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</row>
    <row r="5" ht="27" customHeight="1">
      <c r="A5" s="45" t="n"/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  <c r="L5" s="45" t="n"/>
    </row>
    <row r="6">
      <c r="A6" s="45" t="n"/>
      <c r="B6" s="4" t="inlineStr">
        <is>
          <t>饰品1组</t>
        </is>
      </c>
      <c r="C6" s="103" t="n">
        <v>71810000</v>
      </c>
      <c r="D6" s="103" t="n">
        <v>23538133.96204001</v>
      </c>
      <c r="E6" s="104">
        <f>D6/C6</f>
        <v/>
      </c>
      <c r="F6" s="103" t="n">
        <v>23132291.24843001</v>
      </c>
      <c r="G6" s="104">
        <f>D6/F6-1</f>
        <v/>
      </c>
      <c r="H6" s="103" t="n">
        <v>25384785.17575655</v>
      </c>
      <c r="I6" s="104">
        <f>D6/H6</f>
        <v/>
      </c>
      <c r="J6" s="103" t="n">
        <v>25100000</v>
      </c>
      <c r="K6" s="104">
        <f>D6/J6</f>
        <v/>
      </c>
      <c r="L6" s="45" t="n"/>
    </row>
    <row r="7">
      <c r="A7" s="45" t="n"/>
      <c r="B7" s="4" t="inlineStr">
        <is>
          <t>饰品2组</t>
        </is>
      </c>
      <c r="C7" s="103" t="n">
        <v>132000000</v>
      </c>
      <c r="D7" s="103" t="n">
        <v>32813459.811</v>
      </c>
      <c r="E7" s="104">
        <f>D7/C7</f>
        <v/>
      </c>
      <c r="F7" s="103" t="n">
        <v>38971032.45899999</v>
      </c>
      <c r="G7" s="104">
        <f>D7/F7-1</f>
        <v/>
      </c>
      <c r="H7" s="103" t="n">
        <v>46661908.41386805</v>
      </c>
      <c r="I7" s="104">
        <f>D7/H7</f>
        <v/>
      </c>
      <c r="J7" s="103" t="n">
        <v>48882700.49999999</v>
      </c>
      <c r="K7" s="104">
        <f>D7/J7</f>
        <v/>
      </c>
      <c r="L7" s="45" t="n"/>
    </row>
    <row r="8">
      <c r="A8" s="45" t="n"/>
      <c r="B8" s="4" t="inlineStr">
        <is>
          <t>海淘组</t>
        </is>
      </c>
      <c r="C8" s="103" t="n">
        <v>9437018</v>
      </c>
      <c r="D8" s="103" t="n">
        <v>4393512.085220001</v>
      </c>
      <c r="E8" s="104">
        <f>D8/C8</f>
        <v/>
      </c>
      <c r="F8" s="103" t="n">
        <v>2838432.76718</v>
      </c>
      <c r="G8" s="104">
        <f>D8/F8-1</f>
        <v/>
      </c>
      <c r="H8" s="103" t="n">
        <v>3335979.315272911</v>
      </c>
      <c r="I8" s="104">
        <f>D8/H8</f>
        <v/>
      </c>
      <c r="J8" s="103" t="n">
        <v>3380000</v>
      </c>
      <c r="K8" s="104">
        <f>D8/J8</f>
        <v/>
      </c>
      <c r="L8" s="45" t="n"/>
    </row>
    <row r="9">
      <c r="A9" s="45" t="n"/>
      <c r="B9" s="4" t="inlineStr">
        <is>
          <t>珠宝1组</t>
        </is>
      </c>
      <c r="C9" s="103" t="n">
        <v>88000000</v>
      </c>
      <c r="D9" s="103" t="n">
        <v>25358433.51492</v>
      </c>
      <c r="E9" s="104">
        <f>D9/C9</f>
        <v/>
      </c>
      <c r="F9" s="103" t="n">
        <v>24409844.47005</v>
      </c>
      <c r="G9" s="104">
        <f>D9/F9-1</f>
        <v/>
      </c>
      <c r="H9" s="103" t="n">
        <v>31107938.9425787</v>
      </c>
      <c r="I9" s="104">
        <f>D9/H9</f>
        <v/>
      </c>
      <c r="J9" s="103" t="n">
        <v>27562949</v>
      </c>
      <c r="K9" s="104">
        <f>D9/J9</f>
        <v/>
      </c>
      <c r="L9" s="45" t="n"/>
    </row>
    <row r="10">
      <c r="A10" s="45" t="n"/>
      <c r="B10" s="4" t="inlineStr">
        <is>
          <t>珠宝2组</t>
        </is>
      </c>
      <c r="C10" s="103" t="n">
        <v>66000000</v>
      </c>
      <c r="D10" s="103" t="n">
        <v>20747458.48452</v>
      </c>
      <c r="E10" s="104">
        <f>D10/C10</f>
        <v/>
      </c>
      <c r="F10" s="103" t="n">
        <v>19622816.84151001</v>
      </c>
      <c r="G10" s="104">
        <f>D10/F10-1</f>
        <v/>
      </c>
      <c r="H10" s="103" t="n">
        <v>23330954.20693402</v>
      </c>
      <c r="I10" s="104">
        <f>D10/H10</f>
        <v/>
      </c>
      <c r="J10" s="103" t="n">
        <v>23200000</v>
      </c>
      <c r="K10" s="104">
        <f>D10/J10</f>
        <v/>
      </c>
      <c r="L10" s="45" t="n"/>
    </row>
    <row r="11">
      <c r="A11" s="45" t="n"/>
      <c r="B11" s="4" t="inlineStr">
        <is>
          <t>珠宝3组</t>
        </is>
      </c>
      <c r="C11" s="103" t="n">
        <v>62390797</v>
      </c>
      <c r="D11" s="103" t="n">
        <v>16170046.30114</v>
      </c>
      <c r="E11" s="104">
        <f>D11/C11</f>
        <v/>
      </c>
      <c r="F11" s="103" t="n">
        <v>18696415.96897</v>
      </c>
      <c r="G11" s="104">
        <f>D11/F11-1</f>
        <v/>
      </c>
      <c r="H11" s="103" t="n">
        <v>22055103.45062298</v>
      </c>
      <c r="I11" s="104">
        <f>D11/H11</f>
        <v/>
      </c>
      <c r="J11" s="103" t="n">
        <v>22160761.37</v>
      </c>
      <c r="K11" s="104">
        <f>D11/J11</f>
        <v/>
      </c>
      <c r="L11" s="45" t="n"/>
    </row>
    <row r="12">
      <c r="A12" s="45" t="n"/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45" t="n"/>
    </row>
    <row r="13">
      <c r="A13" s="45" t="n"/>
      <c r="B13" s="1" t="n"/>
      <c r="C13" s="11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>
      <c r="A14" s="45" t="n"/>
      <c r="B14" s="1" t="n"/>
      <c r="C14" s="11" t="n"/>
      <c r="D14" s="45" t="n"/>
      <c r="E14" s="45" t="n"/>
      <c r="F14" s="45" t="n"/>
      <c r="G14" s="8" t="n"/>
    </row>
    <row r="15">
      <c r="A15" s="45" t="n"/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</row>
    <row r="16" ht="27" customHeight="1">
      <c r="A16" s="45" t="n"/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</row>
    <row r="17">
      <c r="A17" s="45" t="n"/>
      <c r="B17" s="4" t="inlineStr">
        <is>
          <t>饰品1组</t>
        </is>
      </c>
      <c r="C17" s="103" t="n">
        <v>495666755.1757566</v>
      </c>
      <c r="D17" s="103" t="n">
        <v>506564593.3791</v>
      </c>
      <c r="E17" s="104" t="n">
        <v>1.021986219752582</v>
      </c>
      <c r="F17" s="103" t="n">
        <v>466418048.39006</v>
      </c>
      <c r="G17" s="104" t="n">
        <v>0.08607416700021431</v>
      </c>
    </row>
    <row r="18">
      <c r="A18" s="45" t="n"/>
      <c r="B18" s="4" t="inlineStr">
        <is>
          <t>饰品2组</t>
        </is>
      </c>
      <c r="C18" s="103" t="n">
        <v>945422314.4138681</v>
      </c>
      <c r="D18" s="103" t="n">
        <v>744935248.3533701</v>
      </c>
      <c r="E18" s="104" t="n">
        <v>0.7879391431703263</v>
      </c>
      <c r="F18" s="103" t="n">
        <v>784765367.1497098</v>
      </c>
      <c r="G18" s="104" t="n">
        <v>-0.05075417502304402</v>
      </c>
    </row>
    <row r="19">
      <c r="A19" s="45" t="n"/>
      <c r="B19" s="4" t="inlineStr">
        <is>
          <t>海淘组</t>
        </is>
      </c>
      <c r="C19" s="103" t="n">
        <v>81144440.31527291</v>
      </c>
      <c r="D19" s="103" t="n">
        <v>99397434.68319</v>
      </c>
      <c r="E19" s="104" t="n">
        <v>1.224944485376918</v>
      </c>
      <c r="F19" s="103" t="n">
        <v>69371312.19781001</v>
      </c>
      <c r="G19" s="104" t="n">
        <v>0.4328319810321808</v>
      </c>
    </row>
    <row r="20">
      <c r="A20" s="45" t="n"/>
      <c r="B20" s="4" t="inlineStr">
        <is>
          <t>珠宝1组</t>
        </is>
      </c>
      <c r="C20" s="103" t="n">
        <v>768164343.9425787</v>
      </c>
      <c r="D20" s="103" t="n">
        <v>709228238.8072499</v>
      </c>
      <c r="E20" s="104" t="n">
        <v>0.9232766977534507</v>
      </c>
      <c r="F20" s="103" t="n">
        <v>678442544.3917401</v>
      </c>
      <c r="G20" s="104" t="n">
        <v>0.04537701043367037</v>
      </c>
    </row>
    <row r="21">
      <c r="A21" s="45" t="n"/>
      <c r="B21" s="4" t="inlineStr">
        <is>
          <t>珠宝2组</t>
        </is>
      </c>
      <c r="C21" s="103" t="n">
        <v>665630014.206934</v>
      </c>
      <c r="D21" s="103" t="n">
        <v>547577330.07552</v>
      </c>
      <c r="E21" s="104" t="n">
        <v>0.8226451908541594</v>
      </c>
      <c r="F21" s="103" t="n">
        <v>591750409.3122901</v>
      </c>
      <c r="G21" s="104" t="n">
        <v>-0.07464816000398933</v>
      </c>
    </row>
    <row r="22">
      <c r="A22" s="45" t="n"/>
      <c r="B22" s="4" t="inlineStr">
        <is>
          <t>珠宝3组</t>
        </is>
      </c>
      <c r="C22" s="103" t="n">
        <v>446708648.450623</v>
      </c>
      <c r="D22" s="103" t="n">
        <v>360781794.10626</v>
      </c>
      <c r="E22" s="104" t="n">
        <v>0.8076445248096402</v>
      </c>
      <c r="F22" s="103" t="n">
        <v>394915314.23439</v>
      </c>
      <c r="G22" s="104" t="n">
        <v>-0.0864325056482137</v>
      </c>
    </row>
    <row r="23">
      <c r="A23" s="45" t="n"/>
      <c r="B23" s="4" t="inlineStr">
        <is>
          <t>总</t>
        </is>
      </c>
      <c r="C23" s="103" t="n">
        <v>3402736516.505033</v>
      </c>
      <c r="D23" s="103" t="n">
        <v>2968484639.40469</v>
      </c>
      <c r="E23" s="104" t="n">
        <v>0.872381574361107</v>
      </c>
      <c r="F23" s="103" t="n">
        <v>2985662995.676</v>
      </c>
      <c r="G23" s="104" t="n">
        <v>-0.005753615292880987</v>
      </c>
    </row>
    <row r="26">
      <c r="B26" s="1" t="inlineStr">
        <is>
          <t>毛利</t>
        </is>
      </c>
      <c r="C26" s="8" t="n"/>
      <c r="D26" s="45" t="n"/>
      <c r="E26" s="45" t="n"/>
      <c r="F26" s="45" t="n"/>
      <c r="G26" s="45" t="n"/>
      <c r="H26" s="45" t="n"/>
      <c r="I26" s="45" t="n"/>
      <c r="J26" s="45" t="n"/>
      <c r="K26" s="45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  <c r="K27" s="45" t="n"/>
    </row>
    <row r="28">
      <c r="B28" s="4" t="inlineStr">
        <is>
          <t>7月MTD</t>
        </is>
      </c>
      <c r="C28" s="103" t="n">
        <v>86706122.466722</v>
      </c>
      <c r="D28" s="103" t="n">
        <v>57491911.492985</v>
      </c>
      <c r="E28" s="103" t="n">
        <v>11953627.55772305</v>
      </c>
      <c r="F28" s="100" t="n">
        <v>0.2079184227364156</v>
      </c>
      <c r="G28" s="100" t="n">
        <v>0.208874994</v>
      </c>
      <c r="H28" s="100" t="n">
        <v>-0.0009565712635844215</v>
      </c>
      <c r="I28" s="104" t="n">
        <v>0.9954203648542802</v>
      </c>
      <c r="J28" s="103" t="n">
        <v>-54995.11042272839</v>
      </c>
      <c r="K28" s="13" t="inlineStr">
        <is>
          <t>截止9号0点</t>
        </is>
      </c>
    </row>
    <row r="29">
      <c r="B29" s="4" t="inlineStr">
        <is>
          <t>YTD</t>
        </is>
      </c>
      <c r="C29" s="103" t="n">
        <v>2933397668.882518</v>
      </c>
      <c r="D29" s="103" t="n">
        <v>2046335727.896796</v>
      </c>
      <c r="E29" s="103" t="n">
        <v>395350575.120546</v>
      </c>
      <c r="F29" s="100" t="n">
        <v>0.1931992730864761</v>
      </c>
      <c r="G29" s="100" t="n">
        <v>0.1939977611998543</v>
      </c>
      <c r="H29" s="100" t="n">
        <v>-0.0007984881133781263</v>
      </c>
      <c r="I29" s="104" t="n">
        <v>0.9958840343907086</v>
      </c>
      <c r="J29" s="103" t="n">
        <v>-1633974.754706592</v>
      </c>
      <c r="K29" s="45" t="n"/>
    </row>
    <row r="32">
      <c r="B32" s="1" t="inlineStr">
        <is>
          <t>外网价指</t>
        </is>
      </c>
      <c r="C32" s="13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</row>
    <row r="33">
      <c r="B33" s="1" t="inlineStr">
        <is>
          <t>MTD</t>
        </is>
      </c>
      <c r="C33" s="13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</row>
    <row r="34">
      <c r="B34" s="81" t="inlineStr">
        <is>
          <t>小组</t>
        </is>
      </c>
      <c r="C34" s="81" t="inlineStr">
        <is>
          <t>考核结果</t>
        </is>
      </c>
      <c r="D34" s="79" t="n"/>
      <c r="E34" s="79" t="n"/>
      <c r="F34" s="79" t="n"/>
      <c r="G34" s="80" t="n"/>
      <c r="H34" s="94" t="inlineStr">
        <is>
          <t>天猫</t>
        </is>
      </c>
      <c r="I34" s="79" t="n"/>
      <c r="J34" s="79" t="n"/>
      <c r="K34" s="80" t="n"/>
      <c r="L34" s="97" t="inlineStr">
        <is>
          <t>抖音</t>
        </is>
      </c>
      <c r="M34" s="79" t="n"/>
      <c r="N34" s="79" t="n"/>
      <c r="O34" s="80" t="n"/>
    </row>
    <row r="35" ht="27" customHeight="1">
      <c r="B35" s="82" t="n"/>
      <c r="C35" s="81" t="inlineStr">
        <is>
          <t>综合得分</t>
        </is>
      </c>
      <c r="D35" s="81" t="inlineStr">
        <is>
          <t>天猫得分</t>
        </is>
      </c>
      <c r="E35" s="81" t="inlineStr">
        <is>
          <t>抖音得分</t>
        </is>
      </c>
      <c r="F35" s="81" t="inlineStr">
        <is>
          <t>天猫权重</t>
        </is>
      </c>
      <c r="G35" s="81" t="inlineStr">
        <is>
          <t>抖音权重</t>
        </is>
      </c>
      <c r="H35" s="94" t="inlineStr">
        <is>
          <t>价格指数</t>
        </is>
      </c>
      <c r="I35" s="94" t="inlineStr">
        <is>
          <t>对标值</t>
        </is>
      </c>
      <c r="J35" s="5" t="inlineStr">
        <is>
          <t>完成差值
（pp）</t>
        </is>
      </c>
      <c r="K35" s="5" t="inlineStr">
        <is>
          <t>差值目标
（pp）</t>
        </is>
      </c>
      <c r="L35" s="97" t="inlineStr">
        <is>
          <t>价格指数</t>
        </is>
      </c>
      <c r="M35" s="97" t="inlineStr">
        <is>
          <t>对标值</t>
        </is>
      </c>
      <c r="N35" s="7" t="inlineStr">
        <is>
          <t>完成差值
（pp）</t>
        </is>
      </c>
      <c r="O35" s="7" t="inlineStr">
        <is>
          <t>差值目标
（pp）</t>
        </is>
      </c>
    </row>
    <row r="36">
      <c r="B36" s="4" t="inlineStr">
        <is>
          <t>珠宝1组</t>
        </is>
      </c>
      <c r="C36" s="107" t="n">
        <v>116.72184</v>
      </c>
      <c r="D36" s="108" t="n">
        <v>120</v>
      </c>
      <c r="E36" s="108" t="n">
        <v>0</v>
      </c>
      <c r="F36" s="6" t="n">
        <v>0.972682</v>
      </c>
      <c r="G36" s="6" t="n">
        <v>0.027318</v>
      </c>
      <c r="H36" s="104" t="n">
        <v>0.795359</v>
      </c>
      <c r="I36" s="104" t="n">
        <v>0.828298</v>
      </c>
      <c r="J36" s="14" t="n">
        <v>-3.2939</v>
      </c>
      <c r="K36" s="109" t="n">
        <v>-2</v>
      </c>
      <c r="L36" s="104" t="n">
        <v>0.99276</v>
      </c>
      <c r="M36" s="104" t="n">
        <v>0.858998</v>
      </c>
      <c r="N36" s="14" t="n">
        <v>13.3762</v>
      </c>
      <c r="O36" s="14" t="n">
        <v>-2</v>
      </c>
    </row>
    <row r="37">
      <c r="B37" s="4" t="inlineStr">
        <is>
          <t>珠宝2组</t>
        </is>
      </c>
      <c r="C37" s="107" t="n">
        <v>0</v>
      </c>
      <c r="D37" s="108" t="n">
        <v>0</v>
      </c>
      <c r="E37" s="108" t="n">
        <v>0</v>
      </c>
      <c r="F37" s="6" t="n">
        <v>0.518075</v>
      </c>
      <c r="G37" s="6" t="n">
        <v>0.481925</v>
      </c>
      <c r="H37" s="104" t="n">
        <v>0.892307</v>
      </c>
      <c r="I37" s="104" t="n">
        <v>0.863814</v>
      </c>
      <c r="J37" s="14" t="n">
        <v>2.8493</v>
      </c>
      <c r="K37" s="109" t="n">
        <v>-2</v>
      </c>
      <c r="L37" s="104" t="n">
        <v>0.951893</v>
      </c>
      <c r="M37" s="104" t="n">
        <v>0.8945139999999999</v>
      </c>
      <c r="N37" s="14" t="n">
        <v>5.73790000000001</v>
      </c>
      <c r="O37" s="14" t="n">
        <v>-2</v>
      </c>
    </row>
    <row r="38">
      <c r="B38" s="4" t="inlineStr">
        <is>
          <t>珠宝3组</t>
        </is>
      </c>
      <c r="C38" s="107" t="n">
        <v>120</v>
      </c>
      <c r="D38" s="108" t="n">
        <v>120</v>
      </c>
      <c r="E38" s="108" t="n">
        <v>120</v>
      </c>
      <c r="F38" s="6" t="n">
        <v>0.920329</v>
      </c>
      <c r="G38" s="6" t="n">
        <v>0.07967100000000001</v>
      </c>
      <c r="H38" s="104" t="n">
        <v>0.756126</v>
      </c>
      <c r="I38" s="104" t="n">
        <v>0.790822</v>
      </c>
      <c r="J38" s="14" t="n">
        <v>-3.4696</v>
      </c>
      <c r="K38" s="109" t="n">
        <v>-2</v>
      </c>
      <c r="L38" s="104" t="n">
        <v>0.786064</v>
      </c>
      <c r="M38" s="104" t="n">
        <v>0.821522</v>
      </c>
      <c r="N38" s="14" t="n">
        <v>-3.5458</v>
      </c>
      <c r="O38" s="14" t="n">
        <v>-2</v>
      </c>
    </row>
    <row r="39">
      <c r="B39" s="4" t="inlineStr">
        <is>
          <t>饰品1组</t>
        </is>
      </c>
      <c r="C39" s="107" t="n">
        <v>80.872931292</v>
      </c>
      <c r="D39" s="108" t="n">
        <v>92.64400000000001</v>
      </c>
      <c r="E39" s="108" t="n">
        <v>0</v>
      </c>
      <c r="F39" s="6" t="n">
        <v>0.872943</v>
      </c>
      <c r="G39" s="6" t="n">
        <v>0.127057</v>
      </c>
      <c r="H39" s="104" t="n">
        <v>0.812314</v>
      </c>
      <c r="I39" s="104" t="n">
        <v>0.828636</v>
      </c>
      <c r="J39" s="14" t="n">
        <v>-1.6322</v>
      </c>
      <c r="K39" s="109" t="n">
        <v>-2</v>
      </c>
      <c r="L39" s="104" t="n">
        <v>0.879765</v>
      </c>
      <c r="M39" s="104" t="n">
        <v>0.859336</v>
      </c>
      <c r="N39" s="14" t="n">
        <v>2.042900000000003</v>
      </c>
      <c r="O39" s="14" t="n">
        <v>-2</v>
      </c>
    </row>
    <row r="40">
      <c r="B40" s="4" t="inlineStr">
        <is>
          <t>饰品2组</t>
        </is>
      </c>
      <c r="C40" s="107" t="n">
        <v>0</v>
      </c>
      <c r="D40" s="108" t="n">
        <v>0</v>
      </c>
      <c r="E40" s="108" t="n">
        <v>0</v>
      </c>
      <c r="F40" s="6" t="n">
        <v>0.823187</v>
      </c>
      <c r="G40" s="6" t="n">
        <v>0.176813</v>
      </c>
      <c r="H40" s="104" t="n">
        <v>0.886921</v>
      </c>
      <c r="I40" s="104" t="n">
        <v>0.832101</v>
      </c>
      <c r="J40" s="14" t="n">
        <v>5.482</v>
      </c>
      <c r="K40" s="109" t="n">
        <v>-2</v>
      </c>
      <c r="L40" s="104" t="n">
        <v>0.886819</v>
      </c>
      <c r="M40" s="104" t="n">
        <v>0.8628009999999999</v>
      </c>
      <c r="N40" s="14" t="n">
        <v>2.401800000000009</v>
      </c>
      <c r="O40" s="14" t="n">
        <v>-2</v>
      </c>
    </row>
    <row r="41">
      <c r="B41" s="4" t="inlineStr">
        <is>
          <t>海淘组</t>
        </is>
      </c>
      <c r="C41" s="107" t="n">
        <v>120</v>
      </c>
      <c r="D41" s="108" t="n">
        <v>120</v>
      </c>
      <c r="E41" s="108" t="inlineStr">
        <is>
          <t>(NULL)</t>
        </is>
      </c>
      <c r="F41" s="6" t="n">
        <v>1</v>
      </c>
      <c r="G41" s="6" t="n">
        <v>0</v>
      </c>
      <c r="H41" s="104" t="n">
        <v>0.725952</v>
      </c>
      <c r="I41" s="104" t="n">
        <v>0.850297</v>
      </c>
      <c r="J41" s="14" t="n">
        <v>-12.4345</v>
      </c>
      <c r="K41" s="109" t="n">
        <v>-2</v>
      </c>
      <c r="L41" s="104" t="inlineStr">
        <is>
          <t>(NULL)</t>
        </is>
      </c>
      <c r="M41" s="104" t="n">
        <v>0.880997</v>
      </c>
      <c r="N41" s="14" t="inlineStr">
        <is>
          <t>(NULL)</t>
        </is>
      </c>
      <c r="O41" s="14" t="n">
        <v>-2</v>
      </c>
    </row>
    <row r="42">
      <c r="B42" s="4" t="inlineStr">
        <is>
          <t>总</t>
        </is>
      </c>
      <c r="C42" s="110" t="n">
        <v>54.466661284</v>
      </c>
      <c r="D42" s="111" t="n">
        <v>62.468</v>
      </c>
      <c r="E42" s="111" t="n">
        <v>0</v>
      </c>
      <c r="F42" s="6" t="n">
        <v>0.871913</v>
      </c>
      <c r="G42" s="6" t="n">
        <v>0.128087</v>
      </c>
      <c r="H42" s="104" t="n">
        <v>0.822958</v>
      </c>
      <c r="I42" s="104" t="n">
        <v>0.824192</v>
      </c>
      <c r="J42" s="14" t="n">
        <v>-0.1234</v>
      </c>
      <c r="K42" s="109" t="n">
        <v>-2</v>
      </c>
      <c r="L42" s="104" t="n">
        <v>0.877627</v>
      </c>
      <c r="M42" s="104" t="n">
        <v>0.854892</v>
      </c>
      <c r="N42" s="14" t="n">
        <v>2.273499999999999</v>
      </c>
      <c r="O42" s="14" t="n">
        <v>-2</v>
      </c>
    </row>
    <row r="43"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</row>
    <row r="45">
      <c r="B45" s="1" t="inlineStr">
        <is>
          <t>内网折扣</t>
        </is>
      </c>
      <c r="C45" s="45" t="n"/>
      <c r="D45" s="45" t="n"/>
      <c r="E45" s="45" t="n"/>
      <c r="F45" s="45" t="n"/>
      <c r="G45" s="45" t="n"/>
      <c r="H45" s="45" t="n"/>
    </row>
    <row r="46">
      <c r="B46" s="88" t="inlineStr">
        <is>
          <t>小组</t>
        </is>
      </c>
      <c r="C46" s="88" t="inlineStr">
        <is>
          <t>MTD</t>
        </is>
      </c>
      <c r="D46" s="79" t="n"/>
      <c r="E46" s="80" t="n"/>
      <c r="F46" s="87" t="inlineStr">
        <is>
          <t>YTD</t>
        </is>
      </c>
      <c r="G46" s="79" t="n"/>
      <c r="H46" s="80" t="n"/>
    </row>
    <row r="47" ht="27" customHeight="1">
      <c r="B47" s="82" t="n"/>
      <c r="C47" s="88" t="inlineStr">
        <is>
          <t>去年内网价指</t>
        </is>
      </c>
      <c r="D47" s="88" t="inlineStr">
        <is>
          <t>今年内网价指</t>
        </is>
      </c>
      <c r="E47" s="88" t="inlineStr">
        <is>
          <t>系数差</t>
        </is>
      </c>
      <c r="F47" s="91" t="inlineStr">
        <is>
          <t>去年内网价指</t>
        </is>
      </c>
      <c r="G47" s="91" t="inlineStr">
        <is>
          <t>今年内网价指</t>
        </is>
      </c>
      <c r="H47" s="91" t="inlineStr">
        <is>
          <t>系数差</t>
        </is>
      </c>
    </row>
    <row r="48">
      <c r="B48" s="4" t="inlineStr">
        <is>
          <t>海淘组</t>
        </is>
      </c>
      <c r="C48" s="10" t="n">
        <v>0.9528241783760827</v>
      </c>
      <c r="D48" s="10" t="n">
        <v>0.9380562586993435</v>
      </c>
      <c r="E48" s="10">
        <f>D48-C48</f>
        <v/>
      </c>
      <c r="F48" s="10">
        <f>AVERAGE(C48,I48,L48,O48,R48,U48,X48)</f>
        <v/>
      </c>
      <c r="G48" s="10">
        <f>AVERAGE(D48,J48,M48,P48,S48,V48,Y48)</f>
        <v/>
      </c>
      <c r="H48" s="10">
        <f>G48-F48</f>
        <v/>
      </c>
    </row>
    <row r="49">
      <c r="B49" s="4" t="inlineStr">
        <is>
          <t>饰品1组</t>
        </is>
      </c>
      <c r="C49" s="10" t="n">
        <v>0.943945358125853</v>
      </c>
      <c r="D49" s="10" t="n">
        <v>0.8945674829981122</v>
      </c>
      <c r="E49" s="10">
        <f>D49-C49</f>
        <v/>
      </c>
      <c r="F49" s="10">
        <f>AVERAGE(C49,I49,L49,O49,R49,U49,X49)</f>
        <v/>
      </c>
      <c r="G49" s="10">
        <f>AVERAGE(D49,J49,M49,P49,S49,V49,Y49)</f>
        <v/>
      </c>
      <c r="H49" s="10">
        <f>G49-F49</f>
        <v/>
      </c>
    </row>
    <row r="50">
      <c r="B50" s="4" t="inlineStr">
        <is>
          <t>饰品2组</t>
        </is>
      </c>
      <c r="C50" s="10" t="n">
        <v>0.944412516500118</v>
      </c>
      <c r="D50" s="10" t="n">
        <v>0.8906959395165793</v>
      </c>
      <c r="E50" s="10">
        <f>D50-C50</f>
        <v/>
      </c>
      <c r="F50" s="10">
        <f>AVERAGE(C50,I50,L50,O50,R50,U50,X50)</f>
        <v/>
      </c>
      <c r="G50" s="10">
        <f>AVERAGE(D50,J50,M50,P50,S50,V50,Y50)</f>
        <v/>
      </c>
      <c r="H50" s="10">
        <f>G50-F50</f>
        <v/>
      </c>
    </row>
    <row r="51">
      <c r="B51" s="4" t="inlineStr">
        <is>
          <t>珠宝1组</t>
        </is>
      </c>
      <c r="C51" s="10" t="n">
        <v>0.9823546923227034</v>
      </c>
      <c r="D51" s="10" t="n">
        <v>0.8707374399366824</v>
      </c>
      <c r="E51" s="10">
        <f>D51-C51</f>
        <v/>
      </c>
      <c r="F51" s="10">
        <f>AVERAGE(C51,I51,L51,O51,R51,U51,X51)</f>
        <v/>
      </c>
      <c r="G51" s="10">
        <f>AVERAGE(D51,J51,M51,P51,S51,V51,Y51)</f>
        <v/>
      </c>
      <c r="H51" s="10">
        <f>G51-F51</f>
        <v/>
      </c>
    </row>
    <row r="52">
      <c r="B52" s="4" t="inlineStr">
        <is>
          <t>珠宝2组</t>
        </is>
      </c>
      <c r="C52" s="10" t="n">
        <v>0.9870518123811024</v>
      </c>
      <c r="D52" s="10" t="n">
        <v>0.8582192942187293</v>
      </c>
      <c r="E52" s="10">
        <f>D52-C52</f>
        <v/>
      </c>
      <c r="F52" s="10">
        <f>AVERAGE(C52,I52,L52,O52,R52,U52,X52)</f>
        <v/>
      </c>
      <c r="G52" s="10">
        <f>AVERAGE(D52,J52,M52,P52,S52,V52,Y52)</f>
        <v/>
      </c>
      <c r="H52" s="10">
        <f>G52-F52</f>
        <v/>
      </c>
    </row>
    <row r="53">
      <c r="B53" s="4" t="inlineStr">
        <is>
          <t>珠宝3组</t>
        </is>
      </c>
      <c r="C53" s="10" t="n">
        <v>0.9570356085920149</v>
      </c>
      <c r="D53" s="10" t="n">
        <v>0.8830455686922826</v>
      </c>
      <c r="E53" s="10">
        <f>D53-C53</f>
        <v/>
      </c>
      <c r="F53" s="10">
        <f>AVERAGE(C53,I53,L53,O53,R53,U53,X53)</f>
        <v/>
      </c>
      <c r="G53" s="10">
        <f>AVERAGE(D53,J53,M53,P53,S53,V53,Y53)</f>
        <v/>
      </c>
      <c r="H53" s="10">
        <f>G53-F53</f>
        <v/>
      </c>
    </row>
    <row r="54">
      <c r="B54" s="4" t="inlineStr">
        <is>
          <t>总</t>
        </is>
      </c>
      <c r="C54" s="10" t="n">
        <v>0.9506471132694628</v>
      </c>
      <c r="D54" s="10" t="n">
        <v>0.8887226749484355</v>
      </c>
      <c r="E54" s="10">
        <f>D54-C54</f>
        <v/>
      </c>
      <c r="F54" s="10">
        <f>AVERAGE(C54,I54,L54,O54,R54,U54,X54)</f>
        <v/>
      </c>
      <c r="G54" s="10">
        <f>AVERAGE(D54,J54,M54,P54,S54,V54,Y54)</f>
        <v/>
      </c>
      <c r="H54" s="10">
        <f>G54-F54</f>
        <v/>
      </c>
    </row>
    <row r="57">
      <c r="B57" s="1" t="inlineStr">
        <is>
          <t>六高</t>
        </is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</row>
    <row r="58">
      <c r="B58" s="1" t="inlineStr">
        <is>
          <t>MTD</t>
        </is>
      </c>
      <c r="C58" s="45" t="n"/>
      <c r="D58" s="45" t="n"/>
      <c r="E58" s="45" t="n"/>
      <c r="F58" s="45" t="n"/>
      <c r="G58" s="8" t="n"/>
      <c r="H58" s="115" t="n"/>
      <c r="I58" s="45" t="n"/>
      <c r="J58" s="8" t="n"/>
      <c r="K58" s="115" t="n"/>
      <c r="L58" s="45" t="n"/>
      <c r="M58" s="45" t="n"/>
      <c r="N58" s="45" t="n"/>
      <c r="O58" s="45" t="n"/>
      <c r="P58" s="8" t="n"/>
    </row>
    <row r="59" ht="27" customHeight="1">
      <c r="B59" s="88" t="inlineStr">
        <is>
          <t>小组</t>
        </is>
      </c>
      <c r="C59" s="88" t="inlineStr">
        <is>
          <t>日均6高商品数</t>
        </is>
      </c>
      <c r="D59" s="88" t="inlineStr">
        <is>
          <t>可比率</t>
        </is>
      </c>
      <c r="E59" s="12" t="inlineStr">
        <is>
          <t>天猫价格指数</t>
        </is>
      </c>
      <c r="F59" s="12" t="inlineStr">
        <is>
          <t>天猫价指目标</t>
        </is>
      </c>
      <c r="G59" s="12" t="inlineStr">
        <is>
          <t>vs天猫目标</t>
        </is>
      </c>
      <c r="H59" s="88" t="inlineStr">
        <is>
          <t>抖音价格指数</t>
        </is>
      </c>
      <c r="I59" s="88" t="inlineStr">
        <is>
          <t>抖音价指目标</t>
        </is>
      </c>
      <c r="J59" s="88" t="inlineStr">
        <is>
          <t>vs抖音目标</t>
        </is>
      </c>
      <c r="K59" s="12" t="inlineStr">
        <is>
          <t>调价率</t>
        </is>
      </c>
      <c r="L59" s="12" t="inlineStr">
        <is>
          <t>调价率目标</t>
        </is>
      </c>
      <c r="M59" s="12" t="inlineStr">
        <is>
          <t>vs目标</t>
        </is>
      </c>
      <c r="N59" s="88" t="inlineStr">
        <is>
          <t>整体断货率</t>
        </is>
      </c>
      <c r="O59" s="88" t="inlineStr">
        <is>
          <t>断货率目标</t>
        </is>
      </c>
      <c r="P59" s="88" t="inlineStr">
        <is>
          <t>vs目标6.1%</t>
        </is>
      </c>
    </row>
    <row r="60">
      <c r="B60" s="4" t="inlineStr">
        <is>
          <t>精品总</t>
        </is>
      </c>
      <c r="C60" s="18" t="n">
        <v>1444.363636363636</v>
      </c>
      <c r="D60" s="104" t="n">
        <v>0.7063192346424975</v>
      </c>
      <c r="E60" s="104" t="n">
        <v>0.893881</v>
      </c>
      <c r="F60" s="104" t="n">
        <v>0.8146325152</v>
      </c>
      <c r="G60" s="104">
        <f>IFERROR(E60-F60,"(NULL)")</f>
        <v/>
      </c>
      <c r="H60" s="104" t="n">
        <v>0.887369</v>
      </c>
      <c r="I60" s="104" t="n">
        <v>0.8207995184</v>
      </c>
      <c r="J60" s="104">
        <f>IFERROR(H60-I60,"(NULL)")</f>
        <v/>
      </c>
      <c r="K60" s="104" t="n">
        <v>0.7707317073170732</v>
      </c>
      <c r="L60" s="104" t="n">
        <v>0.8082191781</v>
      </c>
      <c r="M60" s="104">
        <f>IFERROR(K60-L60,"(NULL)")</f>
        <v/>
      </c>
      <c r="N60" s="104" t="n">
        <v>0.0635702352777391</v>
      </c>
      <c r="O60" s="104" t="n">
        <v>0.0611152139</v>
      </c>
      <c r="P60" s="104">
        <f>IFERROR(N60-O60,"(NULL)")</f>
        <v/>
      </c>
    </row>
    <row r="61">
      <c r="B61" s="4" t="inlineStr">
        <is>
          <t>海淘组</t>
        </is>
      </c>
      <c r="C61" s="18" t="n">
        <v>112.1818181818182</v>
      </c>
      <c r="D61" s="104" t="n">
        <v>0.2423014586709887</v>
      </c>
      <c r="E61" s="104" t="n">
        <v>0.725952</v>
      </c>
      <c r="F61" s="104" t="n">
        <v>0.7556221149</v>
      </c>
      <c r="G61" s="104">
        <f>IFERROR(E61-F61,"(NULL)")</f>
        <v/>
      </c>
      <c r="H61" s="104" t="inlineStr">
        <is>
          <t>(NULL)</t>
        </is>
      </c>
      <c r="I61" s="104" t="n">
        <v>0.8207995184</v>
      </c>
      <c r="J61" s="104">
        <f>IFERROR(H61-I61,"(NULL)")</f>
        <v/>
      </c>
      <c r="K61" s="104" t="n">
        <v>0.5</v>
      </c>
      <c r="L61" s="104" t="n">
        <v>0.8082191781</v>
      </c>
      <c r="M61" s="104">
        <f>IFERROR(K61-L61,"(NULL)")</f>
        <v/>
      </c>
      <c r="N61" s="104" t="n">
        <v>0.1632970451010886</v>
      </c>
      <c r="O61" s="104" t="n">
        <v>0.0611152139</v>
      </c>
      <c r="P61" s="104">
        <f>IFERROR(N61-O61,"(NULL)")</f>
        <v/>
      </c>
    </row>
    <row r="62">
      <c r="B62" s="4" t="inlineStr">
        <is>
          <t>饰品1组</t>
        </is>
      </c>
      <c r="C62" s="18" t="n">
        <v>348.3636363636364</v>
      </c>
      <c r="D62" s="104" t="n">
        <v>0.7199895615866388</v>
      </c>
      <c r="E62" s="104" t="n">
        <v>0.884512</v>
      </c>
      <c r="F62" s="104" t="n">
        <v>0.8066</v>
      </c>
      <c r="G62" s="104">
        <f>IFERROR(E62-F62,"(NULL)")</f>
        <v/>
      </c>
      <c r="H62" s="104" t="n">
        <v>0.886764</v>
      </c>
      <c r="I62" s="104" t="n">
        <v>0.8207995184</v>
      </c>
      <c r="J62" s="104">
        <f>IFERROR(H62-I62,"(NULL)")</f>
        <v/>
      </c>
      <c r="K62" s="104" t="n">
        <v>1</v>
      </c>
      <c r="L62" s="104" t="n">
        <v>0.8082191781</v>
      </c>
      <c r="M62" s="104">
        <f>IFERROR(K62-L62,"(NULL)")</f>
        <v/>
      </c>
      <c r="N62" s="104" t="n">
        <v>0.055153451134204</v>
      </c>
      <c r="O62" s="104" t="n">
        <v>0.0611152139</v>
      </c>
      <c r="P62" s="104">
        <f>IFERROR(N62-O62,"(NULL)")</f>
        <v/>
      </c>
    </row>
    <row r="63">
      <c r="B63" s="4" t="inlineStr">
        <is>
          <t>饰品2组</t>
        </is>
      </c>
      <c r="C63" s="18" t="n">
        <v>885.7272727272727</v>
      </c>
      <c r="D63" s="104" t="n">
        <v>0.7966745355639947</v>
      </c>
      <c r="E63" s="104" t="n">
        <v>0.91237</v>
      </c>
      <c r="F63" s="104" t="n">
        <v>0.8078</v>
      </c>
      <c r="G63" s="104">
        <f>IFERROR(E63-F63,"(NULL)")</f>
        <v/>
      </c>
      <c r="H63" s="104" t="n">
        <v>0.889744</v>
      </c>
      <c r="I63" s="104" t="n">
        <v>0.8207995184</v>
      </c>
      <c r="J63" s="104">
        <f>IFERROR(H63-I63,"(NULL)")</f>
        <v/>
      </c>
      <c r="K63" s="104" t="n">
        <v>0.7458563535911602</v>
      </c>
      <c r="L63" s="104" t="n">
        <v>0.8082191781</v>
      </c>
      <c r="M63" s="104">
        <f>IFERROR(K63-L63,"(NULL)")</f>
        <v/>
      </c>
      <c r="N63" s="104" t="n">
        <v>0.0690304574029915</v>
      </c>
      <c r="O63" s="104" t="n">
        <v>0.0611152139</v>
      </c>
      <c r="P63" s="104">
        <f>IFERROR(N63-O63,"(NULL)")</f>
        <v/>
      </c>
    </row>
    <row r="64">
      <c r="B64" s="4" t="inlineStr">
        <is>
          <t>珠宝1组</t>
        </is>
      </c>
      <c r="C64" s="18" t="n">
        <v>1</v>
      </c>
      <c r="D64" s="104" t="n">
        <v>0.8</v>
      </c>
      <c r="E64" s="104" t="inlineStr">
        <is>
          <t>(NULL)</t>
        </is>
      </c>
      <c r="F64" s="104" t="n">
        <v>0.8417108422</v>
      </c>
      <c r="G64" s="104">
        <f>IFERROR(E64-F64,"(NULL)")</f>
        <v/>
      </c>
      <c r="H64" s="104" t="n">
        <v>0.999768</v>
      </c>
      <c r="I64" s="104" t="n">
        <v>0.8207995184</v>
      </c>
      <c r="J64" s="104">
        <f>IFERROR(H64-I64,"(NULL)")</f>
        <v/>
      </c>
      <c r="K64" s="104" t="inlineStr">
        <is>
          <t>(NULL)</t>
        </is>
      </c>
      <c r="L64" s="104" t="n">
        <v>0.8082191781</v>
      </c>
      <c r="M64" s="104">
        <f>IFERROR(K64-L64,"(NULL)")</f>
        <v/>
      </c>
      <c r="N64" s="104" t="n">
        <v>0</v>
      </c>
      <c r="O64" s="104" t="n">
        <v>0.0611152139</v>
      </c>
      <c r="P64" s="104">
        <f>IFERROR(N64-O64,"(NULL)")</f>
        <v/>
      </c>
    </row>
    <row r="65">
      <c r="B65" s="4" t="inlineStr">
        <is>
          <t>珠宝2组</t>
        </is>
      </c>
      <c r="C65" s="18" t="n">
        <v>2</v>
      </c>
      <c r="D65" s="104" t="n">
        <v>0.6363636363636364</v>
      </c>
      <c r="E65" s="104" t="inlineStr">
        <is>
          <t>(NULL)</t>
        </is>
      </c>
      <c r="F65" s="104" t="n">
        <v>0.7771375317</v>
      </c>
      <c r="G65" s="104">
        <f>IFERROR(E65-F65,"(NULL)")</f>
        <v/>
      </c>
      <c r="H65" s="104" t="inlineStr">
        <is>
          <t>(NULL)</t>
        </is>
      </c>
      <c r="I65" s="104" t="n">
        <v>0.8207995184</v>
      </c>
      <c r="J65" s="104">
        <f>IFERROR(H65-I65,"(NULL)")</f>
        <v/>
      </c>
      <c r="K65" s="104" t="inlineStr">
        <is>
          <t>(NULL)</t>
        </is>
      </c>
      <c r="L65" s="104" t="n">
        <v>0.8082191781</v>
      </c>
      <c r="M65" s="104">
        <f>IFERROR(K65-L65,"(NULL)")</f>
        <v/>
      </c>
      <c r="N65" s="104" t="n">
        <v>0.2424242424242424</v>
      </c>
      <c r="O65" s="104" t="n">
        <v>0.0611152139</v>
      </c>
      <c r="P65" s="104">
        <f>IFERROR(N65-O65,"(NULL)")</f>
        <v/>
      </c>
    </row>
    <row r="66">
      <c r="B66" s="4" t="inlineStr">
        <is>
          <t>珠宝3组</t>
        </is>
      </c>
      <c r="C66" s="18" t="n">
        <v>95.18181818181819</v>
      </c>
      <c r="D66" s="104" t="n">
        <v>0.3629417382999045</v>
      </c>
      <c r="E66" s="104" t="n">
        <v>0.838009</v>
      </c>
      <c r="F66" s="104" t="n">
        <v>0.8087257009</v>
      </c>
      <c r="G66" s="104">
        <f>IFERROR(E66-F66,"(NULL)")</f>
        <v/>
      </c>
      <c r="H66" s="104" t="n">
        <v>0.806524</v>
      </c>
      <c r="I66" s="104" t="n">
        <v>0.8207995184</v>
      </c>
      <c r="J66" s="104">
        <f>IFERROR(H66-I66,"(NULL)")</f>
        <v/>
      </c>
      <c r="K66" s="104" t="inlineStr">
        <is>
          <t>(NULL)</t>
        </is>
      </c>
      <c r="L66" s="104" t="n">
        <v>0.8082191781</v>
      </c>
      <c r="M66" s="104">
        <f>IFERROR(K66-L66,"(NULL)")</f>
        <v/>
      </c>
      <c r="N66" s="104" t="n">
        <v>0.020663404023926</v>
      </c>
      <c r="O66" s="104" t="n">
        <v>0.0611152139</v>
      </c>
      <c r="P66" s="104">
        <f>IFERROR(N66-O66,"(NULL)")</f>
        <v/>
      </c>
    </row>
    <row r="69">
      <c r="B69" s="1" t="inlineStr">
        <is>
          <t>优质款</t>
        </is>
      </c>
      <c r="C69" s="45" t="n"/>
      <c r="D69" s="45" t="n"/>
      <c r="E69" s="45" t="n"/>
      <c r="F69" s="45" t="n"/>
      <c r="G69" s="45" t="n"/>
    </row>
    <row r="70">
      <c r="B70" s="1" t="inlineStr">
        <is>
          <t>MTD</t>
        </is>
      </c>
      <c r="C70" s="45" t="n"/>
      <c r="D70" s="45" t="n"/>
      <c r="E70" s="45" t="n"/>
      <c r="F70" s="45" t="n"/>
      <c r="G70" s="45" t="n"/>
    </row>
    <row r="71" ht="27" customHeight="1">
      <c r="B71" s="88" t="inlineStr">
        <is>
          <t>小组</t>
        </is>
      </c>
      <c r="C71" s="88" t="inlineStr">
        <is>
          <t>已引进</t>
        </is>
      </c>
      <c r="D71" s="88" t="inlineStr">
        <is>
          <t>未引进</t>
        </is>
      </c>
      <c r="E71" s="88" t="inlineStr">
        <is>
          <t>暂不引进</t>
        </is>
      </c>
      <c r="F71" s="88" t="inlineStr">
        <is>
          <t>总计</t>
        </is>
      </c>
      <c r="G71" s="88" t="inlineStr">
        <is>
          <t>引入率（目标50%）</t>
        </is>
      </c>
    </row>
    <row r="72">
      <c r="B72" s="4" t="inlineStr">
        <is>
          <t>海淘组</t>
        </is>
      </c>
      <c r="C72" s="4" t="n">
        <v>0</v>
      </c>
      <c r="D72" s="4" t="n">
        <v>0</v>
      </c>
      <c r="E72" s="4" t="n">
        <v>0</v>
      </c>
      <c r="F72" s="4">
        <f>SUM(C72:E72)</f>
        <v/>
      </c>
      <c r="G72" s="6">
        <f>IFERROR(C72/F72,"-")</f>
        <v/>
      </c>
    </row>
    <row r="73">
      <c r="B73" s="4" t="inlineStr">
        <is>
          <t>饰品1组</t>
        </is>
      </c>
      <c r="C73" s="4" t="n">
        <v>0</v>
      </c>
      <c r="D73" s="4" t="n">
        <v>1</v>
      </c>
      <c r="E73" s="4" t="n">
        <v>0</v>
      </c>
      <c r="F73" s="4">
        <f>SUM(C73:E73)</f>
        <v/>
      </c>
      <c r="G73" s="6">
        <f>IFERROR(C73/F73,"-")</f>
        <v/>
      </c>
    </row>
    <row r="74">
      <c r="B74" s="4" t="inlineStr">
        <is>
          <t>饰品2组</t>
        </is>
      </c>
      <c r="C74" s="4" t="n">
        <v>0</v>
      </c>
      <c r="D74" s="4" t="n">
        <v>17</v>
      </c>
      <c r="E74" s="4" t="n">
        <v>0</v>
      </c>
      <c r="F74" s="4">
        <f>SUM(C74:E74)</f>
        <v/>
      </c>
      <c r="G74" s="6">
        <f>IFERROR(C74/F74,"-")</f>
        <v/>
      </c>
    </row>
    <row r="75">
      <c r="B75" s="4" t="inlineStr">
        <is>
          <t>珠宝1组</t>
        </is>
      </c>
      <c r="C75" s="4" t="n">
        <v>0</v>
      </c>
      <c r="D75" s="4" t="n">
        <v>0</v>
      </c>
      <c r="E75" s="4" t="n">
        <v>0</v>
      </c>
      <c r="F75" s="4">
        <f>SUM(C75:E75)</f>
        <v/>
      </c>
      <c r="G75" s="6">
        <f>IFERROR(C75/F75,"-")</f>
        <v/>
      </c>
    </row>
    <row r="76">
      <c r="B76" s="4" t="inlineStr">
        <is>
          <t>珠宝2组</t>
        </is>
      </c>
      <c r="C76" s="4" t="n">
        <v>0</v>
      </c>
      <c r="D76" s="4" t="n">
        <v>0</v>
      </c>
      <c r="E76" s="4" t="n">
        <v>0</v>
      </c>
      <c r="F76" s="4">
        <f>SUM(C76:E76)</f>
        <v/>
      </c>
      <c r="G76" s="6">
        <f>IFERROR(C76/F76,"-")</f>
        <v/>
      </c>
    </row>
    <row r="77">
      <c r="B77" s="4" t="inlineStr">
        <is>
          <t>珠宝3组</t>
        </is>
      </c>
      <c r="C77" s="4" t="n">
        <v>0</v>
      </c>
      <c r="D77" s="4" t="n">
        <v>0</v>
      </c>
      <c r="E77" s="4" t="n">
        <v>0</v>
      </c>
      <c r="F77" s="4">
        <f>SUM(C77:E77)</f>
        <v/>
      </c>
      <c r="G77" s="6">
        <f>IFERROR(C77/F77,"-")</f>
        <v/>
      </c>
    </row>
    <row r="78">
      <c r="B78" s="4" t="inlineStr">
        <is>
          <t>精品总</t>
        </is>
      </c>
      <c r="C78" s="4">
        <f>SUM(C72:C77)</f>
        <v/>
      </c>
      <c r="D78" s="4">
        <f>SUM(D72:D77)</f>
        <v/>
      </c>
      <c r="E78" s="4">
        <f>SUM(E72:E77)</f>
        <v/>
      </c>
      <c r="F78" s="4">
        <f>SUM(C78:E78)</f>
        <v/>
      </c>
      <c r="G78" s="6">
        <f>IFERROR(C78/F78,"-")</f>
        <v/>
      </c>
    </row>
    <row r="81">
      <c r="B81" s="1" t="inlineStr">
        <is>
          <t>机采</t>
        </is>
      </c>
      <c r="C81" s="45" t="n"/>
      <c r="D81" s="45" t="n"/>
      <c r="E81" s="45" t="n"/>
      <c r="F81" s="45" t="n"/>
      <c r="G81" s="45" t="n"/>
      <c r="H81" s="45" t="n"/>
      <c r="I81" s="45" t="n"/>
    </row>
    <row r="82">
      <c r="B82" s="1" t="inlineStr">
        <is>
          <t>MTD</t>
        </is>
      </c>
      <c r="C82" s="13" t="n"/>
      <c r="D82" s="45" t="n"/>
      <c r="E82" s="45" t="n"/>
      <c r="F82" s="45" t="n"/>
      <c r="G82" s="45" t="n"/>
      <c r="H82" s="45" t="n"/>
      <c r="I82" s="45" t="n"/>
    </row>
    <row r="83">
      <c r="B83" s="88" t="inlineStr">
        <is>
          <t>小组</t>
        </is>
      </c>
      <c r="C83" s="102" t="inlineStr">
        <is>
          <t>月度目标</t>
        </is>
      </c>
      <c r="D83" s="102" t="inlineStr">
        <is>
          <t>月度完成</t>
        </is>
      </c>
      <c r="E83" s="102" t="inlineStr">
        <is>
          <t>月完成率</t>
        </is>
      </c>
      <c r="F83" s="102" t="inlineStr">
        <is>
          <t>同期</t>
        </is>
      </c>
      <c r="G83" s="102" t="inlineStr">
        <is>
          <t>业绩同比</t>
        </is>
      </c>
      <c r="H83" s="102" t="inlineStr">
        <is>
          <t>阶段目标</t>
        </is>
      </c>
      <c r="I83" s="102" t="inlineStr">
        <is>
          <t>阶段完成</t>
        </is>
      </c>
    </row>
    <row r="84">
      <c r="B84" s="4" t="inlineStr">
        <is>
          <t>精品总</t>
        </is>
      </c>
      <c r="C84" s="103" t="n">
        <v>5330303.154202142</v>
      </c>
      <c r="D84" s="103" t="n">
        <v>184648.5</v>
      </c>
      <c r="E84" s="104" t="n">
        <v>0.03464127548813663</v>
      </c>
      <c r="F84" s="103" t="n">
        <v>564595.36</v>
      </c>
      <c r="G84" s="104" t="n">
        <v>-0.6729542729504543</v>
      </c>
      <c r="H84" s="103" t="n">
        <v>1884258.466663124</v>
      </c>
      <c r="I84" s="104" t="n">
        <v>0.09799531394809029</v>
      </c>
    </row>
    <row r="85">
      <c r="B85" s="4" t="inlineStr">
        <is>
          <t>海淘组</t>
        </is>
      </c>
      <c r="C85" s="103" t="n">
        <v>1705697.009344685</v>
      </c>
      <c r="D85" s="103" t="n">
        <v>58411.68</v>
      </c>
      <c r="E85" s="104" t="n">
        <v>0.03424505036943302</v>
      </c>
      <c r="F85" s="103" t="n">
        <v>280660.25</v>
      </c>
      <c r="G85" s="104" t="n">
        <v>-0.791877617154549</v>
      </c>
      <c r="H85" s="103" t="n">
        <v>602962.7093321994</v>
      </c>
      <c r="I85" s="104" t="n">
        <v>0.09687444861174385</v>
      </c>
    </row>
    <row r="86">
      <c r="B86" s="4" t="inlineStr">
        <is>
          <t>饰品1组</t>
        </is>
      </c>
      <c r="C86" s="103" t="n">
        <v>2665151.577101071</v>
      </c>
      <c r="D86" s="103" t="n">
        <v>126236.82</v>
      </c>
      <c r="E86" s="104" t="n">
        <v>0.04736571873983613</v>
      </c>
      <c r="F86" s="103" t="n">
        <v>281951.11</v>
      </c>
      <c r="G86" s="104" t="n">
        <v>-0.5522740804247941</v>
      </c>
      <c r="H86" s="103" t="n">
        <v>942129.2333315619</v>
      </c>
      <c r="I86" s="104" t="n">
        <v>0.1339909807846645</v>
      </c>
    </row>
    <row r="87">
      <c r="B87" s="4" t="inlineStr">
        <is>
          <t>饰品2组</t>
        </is>
      </c>
      <c r="C87" s="103" t="n">
        <v>959454.5677563855</v>
      </c>
      <c r="D87" s="103" t="n">
        <v>0</v>
      </c>
      <c r="E87" s="104" t="n">
        <v>0</v>
      </c>
      <c r="F87" s="103" t="n">
        <v>1984</v>
      </c>
      <c r="G87" s="104" t="n">
        <v>-1</v>
      </c>
      <c r="H87" s="103" t="n">
        <v>339166.5239993623</v>
      </c>
      <c r="I87" s="104" t="n">
        <v>0</v>
      </c>
    </row>
    <row r="90">
      <c r="B90" s="1" t="inlineStr">
        <is>
          <t>高价值</t>
        </is>
      </c>
      <c r="C90" s="45" t="n"/>
      <c r="D90" s="45" t="n"/>
      <c r="E90" s="45" t="n"/>
      <c r="F90" s="45" t="n"/>
      <c r="G90" s="45" t="n"/>
      <c r="H90" s="45" t="n"/>
      <c r="I90" s="45" t="n"/>
    </row>
    <row r="91">
      <c r="B91" s="1" t="inlineStr">
        <is>
          <t>MTD</t>
        </is>
      </c>
      <c r="C91" s="13" t="n"/>
      <c r="D91" s="45" t="n"/>
      <c r="E91" s="45" t="n"/>
      <c r="F91" s="45" t="n"/>
      <c r="G91" s="45" t="n"/>
      <c r="H91" s="45" t="n"/>
      <c r="I91" s="45" t="n"/>
    </row>
    <row r="92">
      <c r="B92" s="88" t="inlineStr">
        <is>
          <t>小组</t>
        </is>
      </c>
      <c r="C92" s="102" t="inlineStr">
        <is>
          <t>月度目标</t>
        </is>
      </c>
      <c r="D92" s="102" t="inlineStr">
        <is>
          <t>月度完成</t>
        </is>
      </c>
      <c r="E92" s="102" t="inlineStr">
        <is>
          <t>月完成率</t>
        </is>
      </c>
      <c r="F92" s="102" t="inlineStr">
        <is>
          <t>同期</t>
        </is>
      </c>
      <c r="G92" s="102" t="inlineStr">
        <is>
          <t>业绩同比</t>
        </is>
      </c>
      <c r="H92" s="102" t="inlineStr">
        <is>
          <t>阶段目标</t>
        </is>
      </c>
      <c r="I92" s="102" t="inlineStr">
        <is>
          <t>阶段完成</t>
        </is>
      </c>
    </row>
    <row r="93">
      <c r="B93" s="4" t="inlineStr">
        <is>
          <t>精品总</t>
        </is>
      </c>
      <c r="C93" s="103" t="n">
        <v>31995977.61741119</v>
      </c>
      <c r="D93" s="103" t="n">
        <v>8329475.34</v>
      </c>
      <c r="E93" s="104" t="n">
        <v>0.2603288275669804</v>
      </c>
      <c r="F93" s="103" t="n">
        <v>9780616.369999999</v>
      </c>
      <c r="G93" s="104" t="n">
        <v>-0.1483690776842114</v>
      </c>
      <c r="H93" s="103" t="n">
        <v>11310555.88784707</v>
      </c>
      <c r="I93" s="104" t="n">
        <v>0.7364337723621375</v>
      </c>
    </row>
    <row r="94">
      <c r="B94" s="4" t="inlineStr">
        <is>
          <t>海淘组</t>
        </is>
      </c>
      <c r="C94" s="103" t="n">
        <v>5287223.365515797</v>
      </c>
      <c r="D94" s="103" t="n">
        <v>1653481.53</v>
      </c>
      <c r="E94" s="104" t="n">
        <v>0.3127315446486142</v>
      </c>
      <c r="F94" s="103" t="n">
        <v>824789.8</v>
      </c>
      <c r="G94" s="104" t="n">
        <v>1.004730817476162</v>
      </c>
      <c r="H94" s="103" t="n">
        <v>1869029.791252737</v>
      </c>
      <c r="I94" s="104" t="n">
        <v>0.8846737156028616</v>
      </c>
    </row>
    <row r="95">
      <c r="B95" s="4" t="inlineStr">
        <is>
          <t>饰品1组</t>
        </is>
      </c>
      <c r="C95" s="103" t="n">
        <v>1413193.749498916</v>
      </c>
      <c r="D95" s="103" t="n">
        <v>370642.44</v>
      </c>
      <c r="E95" s="104" t="n">
        <v>0.2622729120698565</v>
      </c>
      <c r="F95" s="103" t="n">
        <v>219485.63</v>
      </c>
      <c r="G95" s="104" t="n">
        <v>0.6886865896414267</v>
      </c>
      <c r="H95" s="103" t="n">
        <v>499563.0099255244</v>
      </c>
      <c r="I95" s="104" t="n">
        <v>0.7419333149891462</v>
      </c>
    </row>
    <row r="96">
      <c r="B96" s="4" t="inlineStr">
        <is>
          <t>饰品2组</t>
        </is>
      </c>
      <c r="C96" s="103" t="n">
        <v>25295560.50239647</v>
      </c>
      <c r="D96" s="103" t="n">
        <v>6305351.37</v>
      </c>
      <c r="E96" s="104" t="n">
        <v>0.2492671142591459</v>
      </c>
      <c r="F96" s="103" t="n">
        <v>8736340.939999999</v>
      </c>
      <c r="G96" s="104" t="n">
        <v>-0.2782617558879289</v>
      </c>
      <c r="H96" s="103" t="n">
        <v>8941963.086668804</v>
      </c>
      <c r="I96" s="104" t="n">
        <v>0.7051417355323668</v>
      </c>
    </row>
    <row r="99">
      <c r="B99" s="35" t="inlineStr">
        <is>
          <t>五星价格力&amp;大爆款效率</t>
        </is>
      </c>
      <c r="C99" s="45" t="n"/>
      <c r="D99" s="45" t="n"/>
      <c r="E99" s="45" t="n"/>
      <c r="F99" s="45" t="n"/>
      <c r="G99" s="45" t="n"/>
      <c r="H99" s="45" t="n"/>
      <c r="I99" s="45" t="n"/>
      <c r="J99" s="45" t="n"/>
    </row>
    <row r="100">
      <c r="B100" s="1" t="inlineStr">
        <is>
          <t>MTD</t>
        </is>
      </c>
      <c r="C100" s="45" t="n"/>
      <c r="D100" s="45" t="n"/>
      <c r="E100" s="45" t="n"/>
      <c r="F100" s="45" t="n"/>
      <c r="G100" s="45" t="n"/>
      <c r="H100" s="45" t="n"/>
      <c r="I100" s="45" t="n"/>
      <c r="J100" s="45" t="n"/>
    </row>
    <row r="101">
      <c r="B101" s="88" t="inlineStr">
        <is>
          <t>小组</t>
        </is>
      </c>
      <c r="C101" s="95" t="inlineStr">
        <is>
          <t>商品占比</t>
        </is>
      </c>
      <c r="D101" s="80" t="n"/>
      <c r="E101" s="81" t="inlineStr">
        <is>
          <t>APP销售占比/ APP曝光占比</t>
        </is>
      </c>
      <c r="F101" s="79" t="n"/>
      <c r="G101" s="79" t="n"/>
      <c r="H101" s="80" t="n"/>
    </row>
    <row r="102">
      <c r="B102" s="82" t="n"/>
      <c r="C102" s="95" t="inlineStr">
        <is>
          <t>曝光</t>
        </is>
      </c>
      <c r="D102" s="95" t="inlineStr">
        <is>
          <t>APP销售</t>
        </is>
      </c>
      <c r="E102" s="81" t="inlineStr">
        <is>
          <t>实际</t>
        </is>
      </c>
      <c r="F102" s="81" t="inlineStr">
        <is>
          <t>目标</t>
        </is>
      </c>
      <c r="G102" s="81" t="inlineStr">
        <is>
          <t>VS目标差距</t>
        </is>
      </c>
      <c r="H102" s="81" t="inlineStr">
        <is>
          <t>完成率</t>
        </is>
      </c>
    </row>
    <row r="103">
      <c r="B103" s="4" t="inlineStr">
        <is>
          <t>四五星</t>
        </is>
      </c>
      <c r="C103" s="116" t="n">
        <v>0.2055571730874747</v>
      </c>
      <c r="D103" s="116" t="n">
        <v>0.332981</v>
      </c>
      <c r="E103" s="20">
        <f>D103/C103</f>
        <v/>
      </c>
      <c r="F103" s="20" t="n">
        <v>2.037636278655495</v>
      </c>
      <c r="G103" s="21">
        <f>E103-F103</f>
        <v/>
      </c>
      <c r="H103" s="104">
        <f>E103/F103</f>
        <v/>
      </c>
    </row>
    <row r="104">
      <c r="B104" s="4" t="inlineStr">
        <is>
          <t>大爆款</t>
        </is>
      </c>
      <c r="C104" s="116" t="n">
        <v>0.007087236122372361</v>
      </c>
      <c r="D104" s="116" t="n">
        <v>0.02937130341567992</v>
      </c>
      <c r="E104" s="20">
        <f>D104/C104</f>
        <v/>
      </c>
      <c r="F104" s="20" t="n">
        <v>2.9061</v>
      </c>
      <c r="G104" s="21">
        <f>E104-F104</f>
        <v/>
      </c>
      <c r="H104" s="104">
        <f>E104/F104</f>
        <v/>
      </c>
    </row>
  </sheetData>
  <mergeCells count="12">
    <mergeCell ref="C101:D101"/>
    <mergeCell ref="E101:H101"/>
    <mergeCell ref="F46:H46"/>
    <mergeCell ref="C34:G34"/>
    <mergeCell ref="C15:G15"/>
    <mergeCell ref="H34:K34"/>
    <mergeCell ref="L34:O34"/>
    <mergeCell ref="B46:B47"/>
    <mergeCell ref="B34:B35"/>
    <mergeCell ref="B15:B16"/>
    <mergeCell ref="B101:B102"/>
    <mergeCell ref="C46:E46"/>
  </mergeCells>
  <conditionalFormatting sqref="E84:E87">
    <cfRule type="iconSet" priority="72">
      <iconSet iconSet="3Symbols2">
        <cfvo type="percent" val="0"/>
        <cfvo type="num" val="1"/>
        <cfvo type="num" val="1"/>
      </iconSet>
    </cfRule>
  </conditionalFormatting>
  <conditionalFormatting sqref="G84:G87">
    <cfRule type="iconSet" priority="71">
      <iconSet iconSet="3Arrows">
        <cfvo type="percent" val="0"/>
        <cfvo type="num" val="0"/>
        <cfvo type="num" val="0"/>
      </iconSet>
    </cfRule>
  </conditionalFormatting>
  <conditionalFormatting sqref="I84:I87">
    <cfRule type="iconSet" priority="70">
      <iconSet iconSet="3Symbols2">
        <cfvo type="percent" val="0"/>
        <cfvo type="num" val="1"/>
        <cfvo type="num" val="1"/>
      </iconSet>
    </cfRule>
  </conditionalFormatting>
  <conditionalFormatting sqref="E6:E12">
    <cfRule type="iconSet" priority="44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41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40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39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38">
      <iconSet iconSet="3Arrows">
        <cfvo type="percent" val="0"/>
        <cfvo type="num" val="0"/>
        <cfvo type="num" val="0"/>
      </iconSet>
    </cfRule>
  </conditionalFormatting>
  <conditionalFormatting sqref="J29">
    <cfRule type="cellIs" priority="34" operator="lessThan" dxfId="10">
      <formula>0</formula>
    </cfRule>
    <cfRule type="iconSet" priority="35">
      <iconSet iconSet="3Symbols2">
        <cfvo type="percent" val="0"/>
        <cfvo type="num" val="0"/>
        <cfvo type="num" val="0"/>
      </iconSet>
    </cfRule>
  </conditionalFormatting>
  <conditionalFormatting sqref="H29">
    <cfRule type="iconSet" priority="36">
      <iconSet iconSet="3Symbols2">
        <cfvo type="percent" val="0"/>
        <cfvo type="num" val="0"/>
        <cfvo type="num" val="0"/>
      </iconSet>
    </cfRule>
  </conditionalFormatting>
  <conditionalFormatting sqref="I29">
    <cfRule type="iconSet" priority="37">
      <iconSet iconSet="3Symbols2">
        <cfvo type="percent" val="0"/>
        <cfvo type="num" val="1"/>
        <cfvo type="num" val="1"/>
      </iconSet>
    </cfRule>
  </conditionalFormatting>
  <conditionalFormatting sqref="J28">
    <cfRule type="cellIs" priority="32" operator="lessThan" dxfId="10">
      <formula>0</formula>
    </cfRule>
    <cfRule type="iconSet" priority="33">
      <iconSet iconSet="3Symbols2">
        <cfvo type="percent" val="0"/>
        <cfvo type="num" val="0"/>
        <cfvo type="num" val="0"/>
      </iconSet>
    </cfRule>
  </conditionalFormatting>
  <conditionalFormatting sqref="H28">
    <cfRule type="iconSet" priority="31">
      <iconSet iconSet="3Symbols2">
        <cfvo type="percent" val="0"/>
        <cfvo type="num" val="0"/>
        <cfvo type="num" val="0"/>
      </iconSet>
    </cfRule>
  </conditionalFormatting>
  <conditionalFormatting sqref="I28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C36:C42">
    <cfRule type="iconSet" priority="29">
      <iconSet iconSet="3Symbols2">
        <cfvo type="percent" val="0"/>
        <cfvo type="num" val="100"/>
        <cfvo type="num" val="100"/>
      </iconSet>
    </cfRule>
  </conditionalFormatting>
  <conditionalFormatting sqref="E48:E54">
    <cfRule type="iconSet" priority="28">
      <iconSet iconSet="3Symbols2" reverse="1">
        <cfvo type="percent" val="0"/>
        <cfvo type="num" val="-0.02"/>
        <cfvo type="num" val="-0.02"/>
      </iconSet>
    </cfRule>
  </conditionalFormatting>
  <conditionalFormatting sqref="H48:H54">
    <cfRule type="iconSet" priority="27">
      <iconSet iconSet="3Symbols2" reverse="1">
        <cfvo type="percent" val="0"/>
        <cfvo type="num" val="-0.02"/>
        <cfvo type="num" val="-0.02"/>
      </iconSet>
    </cfRule>
  </conditionalFormatting>
  <conditionalFormatting sqref="G60">
    <cfRule type="cellIs" priority="25" operator="greaterThan" dxfId="0">
      <formula>0</formula>
    </cfRule>
    <cfRule type="iconSet" priority="26">
      <iconSet iconSet="3Arrows">
        <cfvo type="percent" val="0"/>
        <cfvo type="num" val="0"/>
        <cfvo type="num" val="0"/>
      </iconSet>
    </cfRule>
  </conditionalFormatting>
  <conditionalFormatting sqref="G61:G66">
    <cfRule type="cellIs" priority="23" operator="greaterThan" dxfId="0">
      <formula>0</formula>
    </cfRule>
    <cfRule type="iconSet" priority="24">
      <iconSet iconSet="3Arrows">
        <cfvo type="percent" val="0"/>
        <cfvo type="num" val="0"/>
        <cfvo type="num" val="0"/>
      </iconSet>
    </cfRule>
  </conditionalFormatting>
  <conditionalFormatting sqref="J60">
    <cfRule type="cellIs" priority="21" operator="greaterThan" dxfId="0">
      <formula>0</formula>
    </cfRule>
    <cfRule type="iconSet" priority="22">
      <iconSet iconSet="3Arrows">
        <cfvo type="percent" val="0"/>
        <cfvo type="num" val="0"/>
        <cfvo type="num" val="0"/>
      </iconSet>
    </cfRule>
  </conditionalFormatting>
  <conditionalFormatting sqref="J61:J66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M60">
    <cfRule type="cellIs" priority="17" operator="less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M61:M66">
    <cfRule type="cellIs" priority="15" operator="less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P60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P61:P66">
    <cfRule type="cellIs" priority="11" operator="greater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G72">
    <cfRule type="iconSet" priority="10">
      <iconSet iconSet="3Symbols2">
        <cfvo type="percent" val="0"/>
        <cfvo type="num" val="0.5"/>
        <cfvo type="num" val="0.5"/>
      </iconSet>
    </cfRule>
  </conditionalFormatting>
  <conditionalFormatting sqref="G73:G77">
    <cfRule type="iconSet" priority="9">
      <iconSet iconSet="3Symbols2">
        <cfvo type="percent" val="0"/>
        <cfvo type="num" val="0.5"/>
        <cfvo type="num" val="0.5"/>
      </iconSet>
    </cfRule>
  </conditionalFormatting>
  <conditionalFormatting sqref="G78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E93:E96">
    <cfRule type="iconSet" priority="7">
      <iconSet iconSet="3Symbols2">
        <cfvo type="percent" val="0"/>
        <cfvo type="num" val="1"/>
        <cfvo type="num" val="1"/>
      </iconSet>
    </cfRule>
  </conditionalFormatting>
  <conditionalFormatting sqref="G93:G96">
    <cfRule type="iconSet" priority="6">
      <iconSet iconSet="3Arrows">
        <cfvo type="percent" val="0"/>
        <cfvo type="num" val="0"/>
        <cfvo type="num" val="0"/>
      </iconSet>
    </cfRule>
  </conditionalFormatting>
  <conditionalFormatting sqref="I93:I96">
    <cfRule type="iconSet" priority="5">
      <iconSet iconSet="3Symbols2">
        <cfvo type="percent" val="0"/>
        <cfvo type="num" val="1"/>
        <cfvo type="num" val="1"/>
      </iconSet>
    </cfRule>
  </conditionalFormatting>
  <conditionalFormatting sqref="G103">
    <cfRule type="cellIs" priority="4" operator="lessThan" dxfId="0">
      <formula>0</formula>
    </cfRule>
  </conditionalFormatting>
  <conditionalFormatting sqref="H103">
    <cfRule type="iconSet" priority="3">
      <iconSet iconSet="3Symbols2">
        <cfvo type="percent" val="0"/>
        <cfvo type="num" val="1"/>
        <cfvo type="num" val="1"/>
      </iconSet>
    </cfRule>
  </conditionalFormatting>
  <conditionalFormatting sqref="G104">
    <cfRule type="cellIs" priority="2" operator="lessThan" dxfId="0">
      <formula>0</formula>
    </cfRule>
  </conditionalFormatting>
  <conditionalFormatting sqref="H104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5" fitToWidth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G4" sqref="G4:O4"/>
    </sheetView>
  </sheetViews>
  <sheetFormatPr baseColWidth="8" defaultRowHeight="13"/>
  <cols>
    <col width="8.6640625" customWidth="1" style="45" min="1" max="6"/>
    <col width="9.83203125" customWidth="1" style="13" min="7" max="7"/>
    <col width="8.6640625" customWidth="1" style="45" min="8" max="10"/>
    <col width="8.6640625" customWidth="1" style="45" min="11" max="16384"/>
  </cols>
  <sheetData>
    <row r="1" ht="40.5" customFormat="1" customHeight="1" s="9">
      <c r="A1" s="102" t="inlineStr">
        <is>
          <t>小组</t>
        </is>
      </c>
      <c r="B1" s="88" t="inlineStr">
        <is>
          <t>价指得分</t>
        </is>
      </c>
      <c r="C1" s="88" t="inlineStr">
        <is>
          <t>天猫降幅</t>
        </is>
      </c>
      <c r="D1" s="88" t="inlineStr">
        <is>
          <t>抖音降幅</t>
        </is>
      </c>
      <c r="E1" s="88" t="inlineStr">
        <is>
          <t>本月调整后天猫降幅预估</t>
        </is>
      </c>
      <c r="F1" s="88" t="inlineStr">
        <is>
          <t>本月调整后抖音降幅预估</t>
        </is>
      </c>
      <c r="G1" s="88" t="inlineStr">
        <is>
          <t>整改方案</t>
        </is>
      </c>
      <c r="H1" s="79" t="n"/>
      <c r="I1" s="79" t="n"/>
      <c r="J1" s="79" t="n"/>
      <c r="K1" s="79" t="n"/>
      <c r="L1" s="79" t="n"/>
      <c r="M1" s="79" t="n"/>
      <c r="N1" s="79" t="n"/>
      <c r="O1" s="80" t="n"/>
    </row>
    <row r="2" ht="45" customHeight="1">
      <c r="A2" s="4" t="inlineStr">
        <is>
          <t>珠宝1组</t>
        </is>
      </c>
      <c r="B2" s="107" t="n">
        <v>0</v>
      </c>
      <c r="C2" s="14" t="n">
        <v>6.369288349486226</v>
      </c>
      <c r="D2" s="14" t="n">
        <v>20.60520838877062</v>
      </c>
      <c r="E2" s="16" t="n">
        <v>6.369288349486226</v>
      </c>
      <c r="F2" s="16" t="n">
        <v>20.60520838877062</v>
      </c>
      <c r="G2" s="98" t="inlineStr">
        <is>
          <t>不达标原因：可比价商品变动影响较大，价优商品无法捞出，不动价品牌周大生、周大福商品大量捞出（日均178，商品数占比小组65%）。
整改：1、重新匹配潮宏基等品牌的价优商品；2、继续沟通申请周大生、周大福为B1品牌。</t>
        </is>
      </c>
      <c r="H2" s="79" t="n"/>
      <c r="I2" s="79" t="n"/>
      <c r="J2" s="79" t="n"/>
      <c r="K2" s="79" t="n"/>
      <c r="L2" s="79" t="n"/>
      <c r="M2" s="79" t="n"/>
      <c r="N2" s="79" t="n"/>
      <c r="O2" s="80" t="n"/>
    </row>
    <row r="3" ht="57.5" customHeight="1">
      <c r="A3" s="4" t="inlineStr">
        <is>
          <t>饰品1组</t>
        </is>
      </c>
      <c r="B3" s="107" t="n">
        <v>64.12986819268357</v>
      </c>
      <c r="C3" s="14" t="n">
        <v>-0.4537535345319981</v>
      </c>
      <c r="D3" s="14" t="n">
        <v>6.198068308493205</v>
      </c>
      <c r="E3" s="16" t="n">
        <v>-1</v>
      </c>
      <c r="F3" s="16" t="n">
        <v>5.5</v>
      </c>
      <c r="G3" s="98" t="inlineStr">
        <is>
          <t>1、从活动力度上，优先保证白金促、长续航提报，做好整体价格优势
2、对于部分严格控价品牌（暴龙、卡西欧、帕森等），推进B1品牌的入池工作，目前已入池的商品对整体调整已初见成效（飞亚达降低20%）
3、新价格体系影响部分腕表及控价品牌无法报入活动，正在积极与项目组沟通新体系的政策调整</t>
        </is>
      </c>
      <c r="H3" s="79" t="n"/>
      <c r="I3" s="79" t="n"/>
      <c r="J3" s="79" t="n"/>
      <c r="K3" s="79" t="n"/>
      <c r="L3" s="79" t="n"/>
      <c r="M3" s="79" t="n"/>
      <c r="N3" s="79" t="n"/>
      <c r="O3" s="80" t="n"/>
    </row>
    <row r="4" ht="126" customHeight="1">
      <c r="A4" s="4" t="inlineStr">
        <is>
          <t>饰品2组</t>
        </is>
      </c>
      <c r="B4" s="107" t="n">
        <v>13.98224297601486</v>
      </c>
      <c r="C4" s="14" t="n">
        <v>8.294515249553115</v>
      </c>
      <c r="D4" s="14" t="n">
        <v>-3.274730438427113</v>
      </c>
      <c r="E4" s="16" t="n">
        <v>6.33</v>
      </c>
      <c r="F4" s="15" t="n"/>
      <c r="G4" s="98" t="inlineStr">
        <is>
          <t>落差分析：
1、饰品：国际品牌涨价，海澜之家全面控价，影响权重9%
2、服配：品牌大量上新，新品控价期价格优势较弱，且因五星价格力及大爆款栏目切换，季节品类未到起量期大量低星突破品牌控价，造成大量商品无法提报活动，价格指数上涨明显
3、特殊品牌：上海故事及万事利去年无对比基数，带来纯增4.4%，影响权重24%
整改方案：
1、已BD品牌将大部分商品报入活动扩大价格优势，0动销高价商品禁售处理，长尾品类及长售龄商品通过疯抢及狂秒进一步降价清仓，调整后环比-2.1pp
2、严控价品牌无法提报活动，需等待五星项目组确认季节品类新规</t>
        </is>
      </c>
      <c r="H4" s="79" t="n"/>
      <c r="I4" s="79" t="n"/>
      <c r="J4" s="79" t="n"/>
      <c r="K4" s="79" t="n"/>
      <c r="L4" s="79" t="n"/>
      <c r="M4" s="79" t="n"/>
      <c r="N4" s="79" t="n"/>
      <c r="O4" s="80" t="n"/>
    </row>
    <row r="5" ht="41.5" customHeight="1">
      <c r="A5" s="4" t="inlineStr">
        <is>
          <t>海淘组</t>
        </is>
      </c>
      <c r="B5" s="107" t="n">
        <v>0</v>
      </c>
      <c r="C5" s="14" t="n">
        <v>8.725454959049458</v>
      </c>
      <c r="D5" s="14" t="inlineStr">
        <is>
          <t>(NULL)</t>
        </is>
      </c>
      <c r="E5" s="16" t="n">
        <v>6.16</v>
      </c>
      <c r="F5" s="15" t="n"/>
      <c r="G5" s="98" t="inlineStr">
        <is>
          <t>原因：影响权重较大品牌为EA，品牌收紧低价折扣款供给，严控价格
调整动作：已调优6款，调前价格指数82.73%，调后79.86%；持续BD特价款引入</t>
        </is>
      </c>
      <c r="H5" s="79" t="n"/>
      <c r="I5" s="79" t="n"/>
      <c r="J5" s="79" t="n"/>
      <c r="K5" s="79" t="n"/>
      <c r="L5" s="79" t="n"/>
      <c r="M5" s="79" t="n"/>
      <c r="N5" s="79" t="n"/>
      <c r="O5" s="80" t="n"/>
    </row>
    <row r="8">
      <c r="A8" s="13" t="inlineStr">
        <is>
          <t>3.4最新数据看剔除B1</t>
        </is>
      </c>
    </row>
    <row r="9" ht="13.5" customHeight="1">
      <c r="A9" s="81" t="inlineStr">
        <is>
          <t>小组</t>
        </is>
      </c>
      <c r="B9" s="81" t="inlineStr">
        <is>
          <t>未剔除B1</t>
        </is>
      </c>
      <c r="C9" s="79" t="n"/>
      <c r="D9" s="80" t="n"/>
      <c r="E9" s="81" t="inlineStr">
        <is>
          <t>剔除B1</t>
        </is>
      </c>
      <c r="F9" s="79" t="n"/>
      <c r="G9" s="80" t="n"/>
      <c r="H9" s="81" t="inlineStr">
        <is>
          <t>降幅对比</t>
        </is>
      </c>
    </row>
    <row r="10" ht="27" customHeight="1">
      <c r="A10" s="82" t="n"/>
      <c r="B10" s="81" t="inlineStr">
        <is>
          <t>价格指数</t>
        </is>
      </c>
      <c r="C10" s="81" t="inlineStr">
        <is>
          <t>对标值</t>
        </is>
      </c>
      <c r="D10" s="88" t="inlineStr">
        <is>
          <t>完成差值
（pp）</t>
        </is>
      </c>
      <c r="E10" s="88" t="inlineStr">
        <is>
          <t>价格指数</t>
        </is>
      </c>
      <c r="F10" s="88" t="inlineStr">
        <is>
          <t>对标值</t>
        </is>
      </c>
      <c r="G10" s="88" t="inlineStr">
        <is>
          <t>完成差值
（pp）</t>
        </is>
      </c>
      <c r="H10" s="82" t="n"/>
    </row>
    <row r="11">
      <c r="A11" s="4" t="inlineStr">
        <is>
          <t>珠宝1组</t>
        </is>
      </c>
      <c r="B11" s="104" t="n">
        <v>0.764051795687026</v>
      </c>
      <c r="C11" s="104" t="n">
        <v>0.7618801730168279</v>
      </c>
      <c r="D11" s="14" t="n">
        <v>0.2171622670198019</v>
      </c>
      <c r="E11" s="104" t="n">
        <v>0.5759159452847161</v>
      </c>
      <c r="F11" s="104" t="n">
        <v>0.6481051535169801</v>
      </c>
      <c r="G11" s="14" t="n">
        <v>-7.218920823226394</v>
      </c>
      <c r="H11" s="14">
        <f>IF(G11-D11=0,"-",G11-D11)</f>
        <v/>
      </c>
    </row>
    <row r="12">
      <c r="A12" s="4" t="inlineStr">
        <is>
          <t>饰品1组</t>
        </is>
      </c>
      <c r="B12" s="104" t="n">
        <v>0.8083804123753713</v>
      </c>
      <c r="C12" s="104" t="n">
        <v>0.80772293533791</v>
      </c>
      <c r="D12" s="14" t="n">
        <v>0.06574770374612626</v>
      </c>
      <c r="E12" s="104" t="n">
        <v>0.7776593939718288</v>
      </c>
      <c r="F12" s="104" t="n">
        <v>0.7770597368228096</v>
      </c>
      <c r="G12" s="14" t="n">
        <v>0.05996571490192171</v>
      </c>
      <c r="H12" s="14">
        <f>IF(G12-D12=0,"-",G12-D12)</f>
        <v/>
      </c>
    </row>
    <row r="13">
      <c r="A13" s="4" t="inlineStr">
        <is>
          <t>海淘组</t>
        </is>
      </c>
      <c r="B13" s="104" t="n">
        <v>0.8195376480544023</v>
      </c>
      <c r="C13" s="104" t="n">
        <v>0.7374088837471308</v>
      </c>
      <c r="D13" s="14" t="n">
        <v>8.21287643072715</v>
      </c>
      <c r="E13" s="104" t="n">
        <v>0.8185791584810762</v>
      </c>
      <c r="F13" s="104" t="n">
        <v>0.7343566872539293</v>
      </c>
      <c r="G13" s="14" t="n">
        <v>8.422247122714687</v>
      </c>
      <c r="H13" s="14">
        <f>IF(G13-D13=0,"-",G13-D13)</f>
        <v/>
      </c>
    </row>
    <row r="14">
      <c r="A14" s="4" t="inlineStr">
        <is>
          <t>总</t>
        </is>
      </c>
      <c r="B14" s="104" t="n">
        <v>0.8203925226466294</v>
      </c>
      <c r="C14" s="104" t="n">
        <v>0.8042100450974955</v>
      </c>
      <c r="D14" s="15" t="n">
        <v>1.618247754913398</v>
      </c>
      <c r="E14" s="104" t="n">
        <v>0.7972259333550629</v>
      </c>
      <c r="F14" s="104" t="n">
        <v>0.7802534558399394</v>
      </c>
      <c r="G14" s="109" t="n">
        <v>1.697247751512343</v>
      </c>
      <c r="H14" s="14">
        <f>IF(G14-D14=0,"-",G14-D14)</f>
        <v/>
      </c>
    </row>
    <row r="20">
      <c r="C20" s="8" t="n"/>
      <c r="D20" s="8" t="n"/>
      <c r="E20" s="8" t="n"/>
      <c r="F20" s="8" t="n"/>
      <c r="G20" s="17" t="n"/>
    </row>
    <row r="21">
      <c r="C21" s="8" t="n"/>
      <c r="D21" s="8" t="n"/>
      <c r="E21" s="8" t="n"/>
      <c r="F21" s="8" t="n"/>
      <c r="G21" s="17" t="n"/>
    </row>
    <row r="22">
      <c r="C22" s="8" t="n"/>
      <c r="D22" s="8" t="n"/>
      <c r="E22" s="8" t="n"/>
      <c r="F22" s="8" t="n"/>
      <c r="G22" s="17" t="n"/>
    </row>
    <row r="23">
      <c r="C23" s="8" t="n"/>
      <c r="D23" s="8" t="n"/>
      <c r="E23" s="8" t="n"/>
      <c r="F23" s="8" t="n"/>
      <c r="G23" s="17" t="n"/>
    </row>
    <row r="24">
      <c r="C24" s="8" t="n"/>
      <c r="D24" s="8" t="n"/>
      <c r="E24" s="8" t="n"/>
      <c r="F24" s="8" t="n"/>
      <c r="G24" s="17" t="n"/>
    </row>
    <row r="25">
      <c r="C25" s="8" t="n"/>
      <c r="D25" s="8" t="n"/>
      <c r="E25" s="8" t="n"/>
      <c r="F25" s="8" t="n"/>
      <c r="G25" s="17" t="n"/>
    </row>
    <row r="26">
      <c r="C26" s="8" t="n"/>
      <c r="D26" s="8" t="n"/>
      <c r="E26" s="8" t="n"/>
      <c r="F26" s="8" t="n"/>
      <c r="G26" s="17" t="n"/>
    </row>
  </sheetData>
  <mergeCells count="9">
    <mergeCell ref="G2:O2"/>
    <mergeCell ref="G1:O1"/>
    <mergeCell ref="H9:H10"/>
    <mergeCell ref="A9:A10"/>
    <mergeCell ref="G5:O5"/>
    <mergeCell ref="B9:D9"/>
    <mergeCell ref="E9:G9"/>
    <mergeCell ref="G3:O3"/>
    <mergeCell ref="G4:O4"/>
  </mergeCells>
  <conditionalFormatting sqref="B2:B5">
    <cfRule type="iconSet" priority="63">
      <iconSet iconSet="3Symbols2">
        <cfvo type="percent" val="0"/>
        <cfvo type="num" val="100"/>
        <cfvo type="num" val="100"/>
      </iconSet>
    </cfRule>
  </conditionalFormatting>
  <conditionalFormatting sqref="H11:H14">
    <cfRule type="iconSet" priority="65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2026-07-28T11:19:26Z</dcterms:modified>
  <cp:lastModifiedBy>捉鱼(潘卓云)[时尚服饰事业部]</cp:lastModifiedBy>
  <cp:lastPrinted>2026-07-13T01:37:53Z</cp:lastPrinted>
</cp:coreProperties>
</file>