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46219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32389627.70686</v>
      </c>
      <c r="E6" s="101">
        <f>D6/C6</f>
        <v/>
      </c>
      <c r="F6" s="100" t="n">
        <v>31643223.77757</v>
      </c>
      <c r="G6" s="101">
        <f>D6/F6-1</f>
        <v/>
      </c>
      <c r="H6" s="100" t="n">
        <v>35522514.17281207</v>
      </c>
      <c r="I6" s="101">
        <f>D6/H6</f>
        <v/>
      </c>
      <c r="J6" s="100" t="n">
        <v>35000000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46036869.25590001</v>
      </c>
      <c r="E7" s="101">
        <f>D7/C7</f>
        <v/>
      </c>
      <c r="F7" s="100" t="n">
        <v>53288833.82045999</v>
      </c>
      <c r="G7" s="101">
        <f>D7/F7-1</f>
        <v/>
      </c>
      <c r="H7" s="100" t="n">
        <v>65296920.63516492</v>
      </c>
      <c r="I7" s="101">
        <f>D7/H7</f>
        <v/>
      </c>
      <c r="J7" s="100" t="n">
        <v>66844327.6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5911715.114849999</v>
      </c>
      <c r="E8" s="101">
        <f>D8/C8</f>
        <v/>
      </c>
      <c r="F8" s="100" t="n">
        <v>3735617.23936</v>
      </c>
      <c r="G8" s="101">
        <f>D8/F8-1</f>
        <v/>
      </c>
      <c r="H8" s="100" t="n">
        <v>4668244.055898658</v>
      </c>
      <c r="I8" s="101">
        <f>D8/H8</f>
        <v/>
      </c>
      <c r="J8" s="100" t="n">
        <v>4807018.15389968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38550501.94708</v>
      </c>
      <c r="E9" s="101">
        <f>D9/C9</f>
        <v/>
      </c>
      <c r="F9" s="100" t="n">
        <v>36103787.69422</v>
      </c>
      <c r="G9" s="101">
        <f>D9/F9-1</f>
        <v/>
      </c>
      <c r="H9" s="100" t="n">
        <v>43531280.42344328</v>
      </c>
      <c r="I9" s="101">
        <f>D9/H9</f>
        <v/>
      </c>
      <c r="J9" s="100" t="n">
        <v>42022350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29962467.94621</v>
      </c>
      <c r="E10" s="101">
        <f>D10/C10</f>
        <v/>
      </c>
      <c r="F10" s="100" t="n">
        <v>29040917.19023</v>
      </c>
      <c r="G10" s="101">
        <f>D10/F10-1</f>
        <v/>
      </c>
      <c r="H10" s="100" t="n">
        <v>32648460.31758246</v>
      </c>
      <c r="I10" s="101">
        <f>D10/H10</f>
        <v/>
      </c>
      <c r="J10" s="100" t="n">
        <v>34200000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22614057.90135</v>
      </c>
      <c r="E11" s="101">
        <f>D11/C11</f>
        <v/>
      </c>
      <c r="F11" s="100" t="n">
        <v>26008759.14053</v>
      </c>
      <c r="G11" s="101">
        <f>D11/F11-1</f>
        <v/>
      </c>
      <c r="H11" s="100" t="n">
        <v>30863082.72783095</v>
      </c>
      <c r="I11" s="101">
        <f>D11/H11</f>
        <v/>
      </c>
      <c r="J11" s="100" t="n">
        <v>31258269.39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97.93021553000001</v>
      </c>
      <c r="D45" s="105" t="n">
        <v>100.814</v>
      </c>
      <c r="E45" s="105" t="n">
        <v>0</v>
      </c>
      <c r="F45" s="7" t="n">
        <v>0.971395</v>
      </c>
      <c r="G45" s="7" t="n">
        <v>0.028605</v>
      </c>
      <c r="H45" s="101" t="n">
        <v>0.793439</v>
      </c>
      <c r="I45" s="101" t="n">
        <v>0.813846</v>
      </c>
      <c r="J45" s="15" t="n">
        <v>-2.0407</v>
      </c>
      <c r="K45" s="106" t="n">
        <v>-2</v>
      </c>
      <c r="L45" s="101" t="n">
        <v>0.985509</v>
      </c>
      <c r="M45" s="101" t="n">
        <v>0.844546</v>
      </c>
      <c r="N45" s="15" t="n">
        <v>14.0963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0.545478</v>
      </c>
      <c r="G46" s="7" t="n">
        <v>0.454522</v>
      </c>
      <c r="H46" s="101" t="n">
        <v>0.871382</v>
      </c>
      <c r="I46" s="101" t="n">
        <v>0.855704</v>
      </c>
      <c r="J46" s="15" t="n">
        <v>1.5678</v>
      </c>
      <c r="K46" s="106" t="n">
        <v>-2</v>
      </c>
      <c r="L46" s="101" t="n">
        <v>0.949881</v>
      </c>
      <c r="M46" s="101" t="n">
        <v>0.886404</v>
      </c>
      <c r="N46" s="15" t="n">
        <v>6.347700000000003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109.59882038</v>
      </c>
      <c r="D47" s="105" t="n">
        <v>108.652</v>
      </c>
      <c r="E47" s="105" t="n">
        <v>120</v>
      </c>
      <c r="F47" s="7" t="n">
        <v>0.916565</v>
      </c>
      <c r="G47" s="7" t="n">
        <v>0.083435</v>
      </c>
      <c r="H47" s="101" t="n">
        <v>0.756123</v>
      </c>
      <c r="I47" s="101" t="n">
        <v>0.7804489999999999</v>
      </c>
      <c r="J47" s="15" t="n">
        <v>-2.4326</v>
      </c>
      <c r="K47" s="106" t="n">
        <v>-2</v>
      </c>
      <c r="L47" s="101" t="n">
        <v>0.75467</v>
      </c>
      <c r="M47" s="101" t="n">
        <v>0.8111489999999999</v>
      </c>
      <c r="N47" s="15" t="n">
        <v>-5.647899999999993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78.824133768</v>
      </c>
      <c r="D48" s="105" t="n">
        <v>90.294</v>
      </c>
      <c r="E48" s="105" t="n">
        <v>0</v>
      </c>
      <c r="F48" s="7" t="n">
        <v>0.872972</v>
      </c>
      <c r="G48" s="7" t="n">
        <v>0.127028</v>
      </c>
      <c r="H48" s="101" t="n">
        <v>0.811846</v>
      </c>
      <c r="I48" s="101" t="n">
        <v>0.826993</v>
      </c>
      <c r="J48" s="15" t="n">
        <v>-1.5147</v>
      </c>
      <c r="K48" s="106" t="n">
        <v>-2</v>
      </c>
      <c r="L48" s="101" t="n">
        <v>0.873203</v>
      </c>
      <c r="M48" s="101" t="n">
        <v>0.8576929999999998</v>
      </c>
      <c r="N48" s="15" t="n">
        <v>1.551000000000016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0.820505</v>
      </c>
      <c r="G49" s="7" t="n">
        <v>0.179495</v>
      </c>
      <c r="H49" s="101" t="n">
        <v>0.884324</v>
      </c>
      <c r="I49" s="101" t="n">
        <v>0.831376</v>
      </c>
      <c r="J49" s="15" t="n">
        <v>5.2948</v>
      </c>
      <c r="K49" s="106" t="n">
        <v>-2</v>
      </c>
      <c r="L49" s="101" t="n">
        <v>0.887052</v>
      </c>
      <c r="M49" s="101" t="n">
        <v>0.862076</v>
      </c>
      <c r="N49" s="15" t="n">
        <v>2.497600000000006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0.726978</v>
      </c>
      <c r="I50" s="101" t="n">
        <v>0.847102</v>
      </c>
      <c r="J50" s="15" t="n">
        <v>-12.0124</v>
      </c>
      <c r="K50" s="106" t="n">
        <v>-2</v>
      </c>
      <c r="L50" s="101" t="inlineStr">
        <is>
          <t>(NULL)</t>
        </is>
      </c>
      <c r="M50" s="101" t="n">
        <v>0.877802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n">
        <v>0.9442551200979122</v>
      </c>
      <c r="D67" s="83" t="n">
        <v>0.9351252719748095</v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0.9385070529208377</v>
      </c>
      <c r="D68" s="11" t="n">
        <v>0.8904571310876348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0.933685712972067</v>
      </c>
      <c r="D69" s="11" t="n">
        <v>0.8888831732323637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0.9779898468577517</v>
      </c>
      <c r="D70" s="11" t="n">
        <v>0.8722023115804697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0.962906447794792</v>
      </c>
      <c r="D71" s="11" t="n">
        <v>0.8449899596660958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0.9475576301941477</v>
      </c>
      <c r="D72" s="11" t="n">
        <v>0.8800287196118829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0.9430572607356902</v>
      </c>
      <c r="D73" s="11" t="n">
        <v>0.8852976812028019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1426.133333333333</v>
      </c>
      <c r="D79" s="83" t="n">
        <v>0.7102655198204936</v>
      </c>
      <c r="E79" s="13" t="n">
        <v>0.894085</v>
      </c>
      <c r="F79" s="13" t="n">
        <v>0.8146325152</v>
      </c>
      <c r="G79" s="13" t="inlineStr">
        <is>
          <t>vs天猫目标</t>
        </is>
      </c>
      <c r="H79" s="83" t="n">
        <v>0.885304</v>
      </c>
      <c r="I79" s="83" t="n">
        <v>0.8207995184</v>
      </c>
      <c r="J79" s="83" t="inlineStr">
        <is>
          <t>vs抖音目标</t>
        </is>
      </c>
      <c r="K79" s="13" t="n">
        <v>0.7725321888412017</v>
      </c>
      <c r="L79" s="13" t="n">
        <v>0.8082191781</v>
      </c>
      <c r="M79" s="13" t="inlineStr">
        <is>
          <t>vs目标</t>
        </is>
      </c>
      <c r="N79" s="83" t="n">
        <v>0.0674717790657853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113.6</v>
      </c>
      <c r="D80" s="101" t="n">
        <v>0.2488262910798122</v>
      </c>
      <c r="E80" s="101" t="n">
        <v>0.726978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0.1528878822197055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333</v>
      </c>
      <c r="D81" s="101" t="n">
        <v>0.7187187187187187</v>
      </c>
      <c r="E81" s="101" t="n">
        <v>0.885275</v>
      </c>
      <c r="F81" s="101" t="n">
        <v>0.8066</v>
      </c>
      <c r="G81" s="101" t="inlineStr">
        <is>
          <t>(NULL)</t>
        </is>
      </c>
      <c r="H81" s="101" t="n">
        <v>0.884537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0.056609623015873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881.2</v>
      </c>
      <c r="D82" s="101" t="n">
        <v>0.8033741867150855</v>
      </c>
      <c r="E82" s="101" t="n">
        <v>0.911267</v>
      </c>
      <c r="F82" s="101" t="n">
        <v>0.8078</v>
      </c>
      <c r="G82" s="101" t="n">
        <v>0.15917</v>
      </c>
      <c r="H82" s="101" t="n">
        <v>0.890388</v>
      </c>
      <c r="I82" s="101" t="n">
        <v>0.8207995184</v>
      </c>
      <c r="J82" s="101" t="n">
        <v>0.1714954816000001</v>
      </c>
      <c r="K82" s="101" t="n">
        <v>0.7346938775510204</v>
      </c>
      <c r="L82" s="101" t="n">
        <v>0.8082191781</v>
      </c>
      <c r="M82" s="101" t="n">
        <v>0.1917808219</v>
      </c>
      <c r="N82" s="101" t="n">
        <v>0.0750439437519974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0.7333333333333333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0.2666666666666667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95.66666666666667</v>
      </c>
      <c r="D85" s="101" t="n">
        <v>0.3700348432055749</v>
      </c>
      <c r="E85" s="101" t="n">
        <v>0.832282</v>
      </c>
      <c r="F85" s="101" t="n">
        <v>0.8087257009</v>
      </c>
      <c r="G85" s="101" t="inlineStr">
        <is>
          <t>(NULL)</t>
        </is>
      </c>
      <c r="H85" s="101" t="n">
        <v>0.780199</v>
      </c>
      <c r="I85" s="101" t="n">
        <v>0.8207995184</v>
      </c>
      <c r="J85" s="101" t="inlineStr">
        <is>
          <t>(NULL)</t>
        </is>
      </c>
      <c r="K85" s="101" t="n">
        <v>1</v>
      </c>
      <c r="L85" s="101" t="n">
        <v>0.8082191781</v>
      </c>
      <c r="M85" s="101" t="inlineStr">
        <is>
          <t>(NULL)</t>
        </is>
      </c>
      <c r="N85" s="101" t="n">
        <v>0.0195141377937077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2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264327.67</v>
      </c>
      <c r="E115" s="101">
        <f>D115/C115</f>
        <v/>
      </c>
      <c r="F115" s="100" t="n">
        <v>738315.29</v>
      </c>
      <c r="G115" s="101">
        <f>D115/F115-1</f>
        <v/>
      </c>
      <c r="H115" s="100" t="n">
        <v>2579178.945581681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79161.14999999999</v>
      </c>
      <c r="E116" s="101">
        <f>D116/C116</f>
        <v/>
      </c>
      <c r="F116" s="100" t="n">
        <v>360445.58</v>
      </c>
      <c r="G116" s="101">
        <f>D116/F116-1</f>
        <v/>
      </c>
      <c r="H116" s="100" t="n">
        <v>825337.2625861379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180795.15</v>
      </c>
      <c r="E117" s="101">
        <f>D117/C117</f>
        <v/>
      </c>
      <c r="F117" s="100" t="n">
        <v>377869.71</v>
      </c>
      <c r="G117" s="101">
        <f>D117/F117-1</f>
        <v/>
      </c>
      <c r="H117" s="100" t="n">
        <v>1289589.472790841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4371.37</v>
      </c>
      <c r="E118" s="101">
        <f>D118/C118</f>
        <v/>
      </c>
      <c r="F118" s="100" t="n"/>
      <c r="G118" s="101">
        <f>D118/F118-1</f>
        <v/>
      </c>
      <c r="H118" s="100" t="n">
        <v>464252.2102047027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0.2120896400537903</v>
      </c>
      <c r="D132" s="95" t="n">
        <v>0.335456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7910742.785714285</v>
      </c>
      <c r="J132" s="1" t="n">
        <v>1491319.224516</v>
      </c>
    </row>
    <row r="133">
      <c r="B133" s="5" t="inlineStr">
        <is>
          <t>四五星</t>
        </is>
      </c>
      <c r="C133" s="112" t="n">
        <v>0.006752232719069173</v>
      </c>
      <c r="D133" s="112" t="n">
        <v>0.02843437961289845</v>
      </c>
      <c r="E133" s="21" t="n">
        <v>1.5817</v>
      </c>
      <c r="F133" s="21" t="n">
        <v>2.9061</v>
      </c>
      <c r="G133" s="22" t="n">
        <v>-0.456</v>
      </c>
      <c r="H133" s="101" t="n">
        <v>0.7762</v>
      </c>
      <c r="I133" s="103" t="n">
        <v>5270625</v>
      </c>
      <c r="J133" s="103" t="n">
        <v>2725288.33066</v>
      </c>
    </row>
    <row r="134">
      <c r="B134" s="5" t="inlineStr">
        <is>
          <t>大爆款</t>
        </is>
      </c>
      <c r="C134" s="112" t="n">
        <v>0.006752</v>
      </c>
      <c r="D134" s="112" t="n">
        <v>0.028434</v>
      </c>
      <c r="E134" s="21" t="n">
        <v>4.2111</v>
      </c>
      <c r="F134" s="21" t="n">
        <v>2.9061</v>
      </c>
      <c r="G134" s="22" t="n">
        <v>1.305</v>
      </c>
      <c r="H134" s="101" t="n">
        <v>1.449</v>
      </c>
      <c r="I134" s="103" t="n">
        <v>5270625</v>
      </c>
      <c r="J134" s="103" t="n">
        <v>2725288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2026-07-16T07:50:09Z</dcterms:modified>
  <cp:lastModifiedBy>捉鱼(潘卓云)[时尚服饰事业部]</cp:lastModifiedBy>
  <cp:lastPrinted>2026-07-06T01:24:42Z</cp:lastPrinted>
</cp:coreProperties>
</file>