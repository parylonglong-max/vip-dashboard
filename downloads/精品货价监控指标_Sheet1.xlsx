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46218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30508558.42402</v>
      </c>
      <c r="E6" s="101">
        <f>D6/C6</f>
        <v/>
      </c>
      <c r="F6" s="100" t="n">
        <v>29485954.68686</v>
      </c>
      <c r="G6" s="101">
        <f>D6/F6-1</f>
        <v/>
      </c>
      <c r="H6" s="100" t="n">
        <v>33149266.88251022</v>
      </c>
      <c r="I6" s="101">
        <f>D6/H6</f>
        <v/>
      </c>
      <c r="J6" s="100" t="n">
        <v>32900000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43127673.19754</v>
      </c>
      <c r="E7" s="101">
        <f>D7/C7</f>
        <v/>
      </c>
      <c r="F7" s="100" t="n">
        <v>49748016.49318</v>
      </c>
      <c r="G7" s="101">
        <f>D7/F7-1</f>
        <v/>
      </c>
      <c r="H7" s="100" t="n">
        <v>60934455.2080678</v>
      </c>
      <c r="I7" s="101">
        <f>D7/H7</f>
        <v/>
      </c>
      <c r="J7" s="100" t="n">
        <v>62402640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5644151.23485</v>
      </c>
      <c r="E8" s="101">
        <f>D8/C8</f>
        <v/>
      </c>
      <c r="F8" s="100" t="n">
        <v>3502930.55547</v>
      </c>
      <c r="G8" s="101">
        <f>D8/F8-1</f>
        <v/>
      </c>
      <c r="H8" s="100" t="n">
        <v>4356360.231960072</v>
      </c>
      <c r="I8" s="101">
        <f>D8/H8</f>
        <v/>
      </c>
      <c r="J8" s="100" t="n">
        <v>4547018.15389968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34609754.73763</v>
      </c>
      <c r="E9" s="101">
        <f>D9/C9</f>
        <v/>
      </c>
      <c r="F9" s="100" t="n">
        <v>33890878.31298999</v>
      </c>
      <c r="G9" s="101">
        <f>D9/F9-1</f>
        <v/>
      </c>
      <c r="H9" s="100" t="n">
        <v>40622970.13871186</v>
      </c>
      <c r="I9" s="101">
        <f>D9/H9</f>
        <v/>
      </c>
      <c r="J9" s="100" t="n">
        <v>37685844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28161318.03415001</v>
      </c>
      <c r="E10" s="101">
        <f>D10/C10</f>
        <v/>
      </c>
      <c r="F10" s="100" t="n">
        <v>26851775.95578999</v>
      </c>
      <c r="G10" s="101">
        <f>D10/F10-1</f>
        <v/>
      </c>
      <c r="H10" s="100" t="n">
        <v>30467227.6040339</v>
      </c>
      <c r="I10" s="101">
        <f>D10/H10</f>
        <v/>
      </c>
      <c r="J10" s="100" t="n">
        <v>31700000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21134327.21095</v>
      </c>
      <c r="E11" s="101">
        <f>D11/C11</f>
        <v/>
      </c>
      <c r="F11" s="100" t="n">
        <v>24119991.46939</v>
      </c>
      <c r="G11" s="101">
        <f>D11/F11-1</f>
        <v/>
      </c>
      <c r="H11" s="100" t="n">
        <v>28801130.49387993</v>
      </c>
      <c r="I11" s="101">
        <f>D11/H11</f>
        <v/>
      </c>
      <c r="J11" s="100" t="n">
        <v>29345481.26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401017967.9744362</v>
      </c>
      <c r="D35" s="100" t="n">
        <v>266882255.703103</v>
      </c>
      <c r="E35" s="100">
        <f>D35*F35</f>
        <v/>
      </c>
      <c r="F35" s="3" t="n">
        <v>0.202198147827591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inlineStr">
        <is>
          <t>待15号更新最终</t>
        </is>
      </c>
    </row>
    <row r="36">
      <c r="B36" s="5" t="inlineStr">
        <is>
          <t>7月MTD</t>
        </is>
      </c>
      <c r="C36" s="128" t="n">
        <v>139555019.522971</v>
      </c>
      <c r="D36" s="128" t="n">
        <v>94626317.035368</v>
      </c>
      <c r="E36" s="100">
        <f>D36*F36</f>
        <v/>
      </c>
      <c r="F36" s="129" t="n">
        <v>0.1996835830893531</v>
      </c>
      <c r="G36" s="3" t="n">
        <v>0.208874994</v>
      </c>
      <c r="H36" s="3">
        <f>F36-G36</f>
        <v/>
      </c>
      <c r="I36" s="101">
        <f>F36/G36</f>
        <v/>
      </c>
      <c r="J36" s="100">
        <f>D36*H36</f>
        <v/>
      </c>
      <c r="K36" s="14" t="inlineStr">
        <is>
          <t>截止13号0点</t>
        </is>
      </c>
    </row>
    <row r="37">
      <c r="B37" s="5" t="inlineStr">
        <is>
          <t>YTD</t>
        </is>
      </c>
      <c r="C37" s="100">
        <f>C34+C35+C36</f>
        <v/>
      </c>
      <c r="D37" s="100">
        <f>D34+D35+D36</f>
        <v/>
      </c>
      <c r="E37" s="100">
        <f>E34+E35+E36</f>
        <v/>
      </c>
      <c r="F37" s="3">
        <f>E37/D37</f>
        <v/>
      </c>
      <c r="G37" s="3">
        <f>F37-(J37/D37)</f>
        <v/>
      </c>
      <c r="H37" s="3">
        <f>F37-G37</f>
        <v/>
      </c>
      <c r="I37" s="101">
        <f>F37/G37</f>
        <v/>
      </c>
      <c r="J37" s="100">
        <f>SUM(J34:J36)</f>
        <v/>
      </c>
    </row>
    <row r="38">
      <c r="B38" s="5" t="inlineStr">
        <is>
          <t>全年目标</t>
        </is>
      </c>
      <c r="C38" s="100">
        <f>C37</f>
        <v/>
      </c>
      <c r="D38" s="100">
        <f>D37</f>
        <v/>
      </c>
      <c r="E38" s="100">
        <f>E37</f>
        <v/>
      </c>
      <c r="F38" s="11">
        <f>F37</f>
        <v/>
      </c>
      <c r="G38" s="3" t="n">
        <v>0.1914701443277041</v>
      </c>
      <c r="H38" s="3">
        <f>F38-G38</f>
        <v/>
      </c>
      <c r="I38" s="101">
        <f>F38/G38</f>
        <v/>
      </c>
      <c r="J38" s="100">
        <f>D38*H38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101.893415472</v>
      </c>
      <c r="D45" s="105" t="n">
        <v>104.816</v>
      </c>
      <c r="E45" s="105" t="n">
        <v>0</v>
      </c>
      <c r="F45" s="7" t="n">
        <v>0.972117</v>
      </c>
      <c r="G45" s="7" t="n">
        <v>0.027883</v>
      </c>
      <c r="H45" s="101" t="n">
        <v>0.793841</v>
      </c>
      <c r="I45" s="101" t="n">
        <v>0.816249</v>
      </c>
      <c r="J45" s="15" t="n">
        <v>-2.2408</v>
      </c>
      <c r="K45" s="106" t="n">
        <v>-2</v>
      </c>
      <c r="L45" s="101" t="n">
        <v>0.984745</v>
      </c>
      <c r="M45" s="101" t="n">
        <v>0.846949</v>
      </c>
      <c r="N45" s="15" t="n">
        <v>13.77960000000002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0.531129</v>
      </c>
      <c r="G46" s="7" t="n">
        <v>0.468871</v>
      </c>
      <c r="H46" s="101" t="n">
        <v>0.875091</v>
      </c>
      <c r="I46" s="101" t="n">
        <v>0.858206</v>
      </c>
      <c r="J46" s="15" t="n">
        <v>1.6885</v>
      </c>
      <c r="K46" s="106" t="n">
        <v>-2</v>
      </c>
      <c r="L46" s="101" t="n">
        <v>0.951449</v>
      </c>
      <c r="M46" s="101" t="n">
        <v>0.888906</v>
      </c>
      <c r="N46" s="15" t="n">
        <v>6.254300000000015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114.822931908</v>
      </c>
      <c r="D47" s="105" t="n">
        <v>114.348</v>
      </c>
      <c r="E47" s="105" t="n">
        <v>120</v>
      </c>
      <c r="F47" s="7" t="n">
        <v>0.915971</v>
      </c>
      <c r="G47" s="7" t="n">
        <v>0.08402900000000001</v>
      </c>
      <c r="H47" s="101" t="n">
        <v>0.756567</v>
      </c>
      <c r="I47" s="101" t="n">
        <v>0.783741</v>
      </c>
      <c r="J47" s="15" t="n">
        <v>-2.7174</v>
      </c>
      <c r="K47" s="106" t="n">
        <v>-2</v>
      </c>
      <c r="L47" s="101" t="n">
        <v>0.7614880000000001</v>
      </c>
      <c r="M47" s="101" t="n">
        <v>0.814441</v>
      </c>
      <c r="N47" s="15" t="n">
        <v>-5.295299999999997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77.34217518</v>
      </c>
      <c r="D48" s="105" t="n">
        <v>88.61</v>
      </c>
      <c r="E48" s="105" t="n">
        <v>0</v>
      </c>
      <c r="F48" s="7" t="n">
        <v>0.872838</v>
      </c>
      <c r="G48" s="7" t="n">
        <v>0.127162</v>
      </c>
      <c r="H48" s="101" t="n">
        <v>0.812604</v>
      </c>
      <c r="I48" s="101" t="n">
        <v>0.826909</v>
      </c>
      <c r="J48" s="15" t="n">
        <v>-1.4305</v>
      </c>
      <c r="K48" s="106" t="n">
        <v>-2</v>
      </c>
      <c r="L48" s="101" t="n">
        <v>0.875066</v>
      </c>
      <c r="M48" s="101" t="n">
        <v>0.857609</v>
      </c>
      <c r="N48" s="15" t="n">
        <v>1.745700000000014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0.820749</v>
      </c>
      <c r="G49" s="7" t="n">
        <v>0.179251</v>
      </c>
      <c r="H49" s="101" t="n">
        <v>0.884773</v>
      </c>
      <c r="I49" s="101" t="n">
        <v>0.830915</v>
      </c>
      <c r="J49" s="15" t="n">
        <v>5.3858</v>
      </c>
      <c r="K49" s="106" t="n">
        <v>-2</v>
      </c>
      <c r="L49" s="101" t="n">
        <v>0.886325</v>
      </c>
      <c r="M49" s="101" t="n">
        <v>0.8616149999999999</v>
      </c>
      <c r="N49" s="15" t="n">
        <v>2.471000000000004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0.719836</v>
      </c>
      <c r="I50" s="101" t="n">
        <v>0.847011</v>
      </c>
      <c r="J50" s="15" t="n">
        <v>-12.7175</v>
      </c>
      <c r="K50" s="106" t="n">
        <v>-2</v>
      </c>
      <c r="L50" s="101" t="inlineStr">
        <is>
          <t>(NULL)</t>
        </is>
      </c>
      <c r="M50" s="101" t="n">
        <v>0.8777109999999999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1429.357142857143</v>
      </c>
      <c r="D79" s="83" t="n">
        <v>0.7097096596871721</v>
      </c>
      <c r="E79" s="13" t="n">
        <v>0.8934</v>
      </c>
      <c r="F79" s="13" t="n">
        <v>0.8146325152</v>
      </c>
      <c r="G79" s="13" t="inlineStr">
        <is>
          <t>vs天猫目标</t>
        </is>
      </c>
      <c r="H79" s="83" t="n">
        <v>0.885124</v>
      </c>
      <c r="I79" s="83" t="n">
        <v>0.8207995184</v>
      </c>
      <c r="J79" s="83" t="inlineStr">
        <is>
          <t>vs抖音目标</t>
        </is>
      </c>
      <c r="K79" s="13" t="n">
        <v>0.7719298245614035</v>
      </c>
      <c r="L79" s="13" t="n">
        <v>0.8082191781</v>
      </c>
      <c r="M79" s="13" t="inlineStr">
        <is>
          <t>vs目标</t>
        </is>
      </c>
      <c r="N79" s="83" t="n">
        <v>0.0662968923763409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113.2142857142857</v>
      </c>
      <c r="D80" s="101" t="n">
        <v>0.2460567823343849</v>
      </c>
      <c r="E80" s="101" t="n">
        <v>0.719836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0.1555285540704739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336</v>
      </c>
      <c r="D81" s="101" t="n">
        <v>0.71875</v>
      </c>
      <c r="E81" s="101" t="n">
        <v>0.8849050000000001</v>
      </c>
      <c r="F81" s="101" t="n">
        <v>0.8066</v>
      </c>
      <c r="G81" s="101" t="inlineStr">
        <is>
          <t>(NULL)</t>
        </is>
      </c>
      <c r="H81" s="101" t="n">
        <v>0.884486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0.0559707635070622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881.8571428571429</v>
      </c>
      <c r="D82" s="101" t="n">
        <v>0.8026891300826179</v>
      </c>
      <c r="E82" s="101" t="n">
        <v>0.909886</v>
      </c>
      <c r="F82" s="101" t="n">
        <v>0.8078</v>
      </c>
      <c r="G82" s="101" t="n">
        <v>0.15917</v>
      </c>
      <c r="H82" s="101" t="n">
        <v>0.889021</v>
      </c>
      <c r="I82" s="101" t="n">
        <v>0.8207995184</v>
      </c>
      <c r="J82" s="101" t="n">
        <v>0.1714954816000001</v>
      </c>
      <c r="K82" s="101" t="n">
        <v>0.7384615384615385</v>
      </c>
      <c r="L82" s="101" t="n">
        <v>0.8082191781</v>
      </c>
      <c r="M82" s="101" t="n">
        <v>0.1917808219</v>
      </c>
      <c r="N82" s="101" t="n">
        <v>0.07326775021385799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0.7142857142857143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0.2619047619047619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95.57142857142857</v>
      </c>
      <c r="D85" s="101" t="n">
        <v>0.3684603886397608</v>
      </c>
      <c r="E85" s="101" t="n">
        <v>0.834846</v>
      </c>
      <c r="F85" s="101" t="n">
        <v>0.8087257009</v>
      </c>
      <c r="G85" s="101" t="inlineStr">
        <is>
          <t>(NULL)</t>
        </is>
      </c>
      <c r="H85" s="101" t="n">
        <v>0.783925</v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0.0200597524541187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1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19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249044.42849</v>
      </c>
      <c r="E115" s="101">
        <f>D115/C115</f>
        <v/>
      </c>
      <c r="F115" s="100" t="n">
        <v>672015.4754599999</v>
      </c>
      <c r="G115" s="101">
        <f>D115/F115-1</f>
        <v/>
      </c>
      <c r="H115" s="100" t="n">
        <v>2407233.682542903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75973.64268</v>
      </c>
      <c r="E116" s="101">
        <f>D116/C116</f>
        <v/>
      </c>
      <c r="F116" s="100" t="n">
        <v>316164.28121</v>
      </c>
      <c r="G116" s="101">
        <f>D116/F116-1</f>
        <v/>
      </c>
      <c r="H116" s="100" t="n">
        <v>770314.7784137286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173070.78581</v>
      </c>
      <c r="E117" s="101">
        <f>D117/C117</f>
        <v/>
      </c>
      <c r="F117" s="100" t="n">
        <v>352376.49425</v>
      </c>
      <c r="G117" s="101">
        <f>D117/F117-1</f>
        <v/>
      </c>
      <c r="H117" s="100" t="n">
        <v>1203616.841271451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/>
      <c r="E118" s="101">
        <f>D118/C118</f>
        <v/>
      </c>
      <c r="F118" s="100" t="n">
        <v>3474.7</v>
      </c>
      <c r="G118" s="101">
        <f>D118/F118-1</f>
        <v/>
      </c>
      <c r="H118" s="100" t="n">
        <v>433302.0628577225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0.2120896400537903</v>
      </c>
      <c r="D132" s="95" t="n">
        <v>0.335456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7910742.785714285</v>
      </c>
      <c r="J132" s="1" t="n">
        <v>1491319.224516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4985627</v>
      </c>
      <c r="J133" s="103" t="n">
        <v>2620680.62821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2026-07-15T03:11:18Z</dcterms:modified>
  <cp:lastModifiedBy>捉鱼(潘卓云)[时尚服饰事业部]</cp:lastModifiedBy>
  <cp:lastPrinted>2026-07-06T01:24:42Z</cp:lastPrinted>
</cp:coreProperties>
</file>