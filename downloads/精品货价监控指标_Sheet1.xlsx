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28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46216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26229219.03465001</v>
      </c>
      <c r="E6" s="101">
        <f>D6/C6</f>
        <v/>
      </c>
      <c r="F6" s="100" t="n">
        <v>25198952.36185999</v>
      </c>
      <c r="G6" s="101">
        <f>D6/F6-1</f>
        <v/>
      </c>
      <c r="H6" s="100" t="n">
        <v>28515941.75414003</v>
      </c>
      <c r="I6" s="101">
        <f>D6/H6</f>
        <v/>
      </c>
      <c r="J6" s="100" t="n">
        <v>27900000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36650853.98930001</v>
      </c>
      <c r="E7" s="101">
        <f>D7/C7</f>
        <v/>
      </c>
      <c r="F7" s="100" t="n">
        <v>42700003.63986</v>
      </c>
      <c r="G7" s="101">
        <f>D7/F7-1</f>
        <v/>
      </c>
      <c r="H7" s="100" t="n">
        <v>52417550.64122663</v>
      </c>
      <c r="I7" s="101">
        <f>D7/H7</f>
        <v/>
      </c>
      <c r="J7" s="100" t="n">
        <v>53561034.7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5001488.85697</v>
      </c>
      <c r="E8" s="101">
        <f>D8/C8</f>
        <v/>
      </c>
      <c r="F8" s="100" t="n">
        <v>3061055.493069999</v>
      </c>
      <c r="G8" s="101">
        <f>D8/F8-1</f>
        <v/>
      </c>
      <c r="H8" s="100" t="n">
        <v>3747464.916039146</v>
      </c>
      <c r="I8" s="101">
        <f>D8/H8</f>
        <v/>
      </c>
      <c r="J8" s="100" t="n">
        <v>3917018.15389968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29396598.11794</v>
      </c>
      <c r="E9" s="101">
        <f>D9/C9</f>
        <v/>
      </c>
      <c r="F9" s="100" t="n">
        <v>28718076.21583001</v>
      </c>
      <c r="G9" s="101">
        <f>D9/F9-1</f>
        <v/>
      </c>
      <c r="H9" s="100" t="n">
        <v>34945033.76081775</v>
      </c>
      <c r="I9" s="101">
        <f>D9/H9</f>
        <v/>
      </c>
      <c r="J9" s="100" t="n">
        <v>31909566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24001794.60806</v>
      </c>
      <c r="E10" s="101">
        <f>D10/C10</f>
        <v/>
      </c>
      <c r="F10" s="100" t="n">
        <v>23336710.93771</v>
      </c>
      <c r="G10" s="101">
        <f>D10/F10-1</f>
        <v/>
      </c>
      <c r="H10" s="100" t="n">
        <v>26208775.32061331</v>
      </c>
      <c r="I10" s="101">
        <f>D10/H10</f>
        <v/>
      </c>
      <c r="J10" s="100" t="n">
        <v>27200000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18107267.64684</v>
      </c>
      <c r="E11" s="101">
        <f>D11/C11</f>
        <v/>
      </c>
      <c r="F11" s="100" t="n">
        <v>20723865.86578</v>
      </c>
      <c r="G11" s="101">
        <f>D11/F11-1</f>
        <v/>
      </c>
      <c r="H11" s="100" t="n">
        <v>24775551.22192417</v>
      </c>
      <c r="I11" s="101">
        <f>D11/H11</f>
        <v/>
      </c>
      <c r="J11" s="100" t="n">
        <v>25300548.09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401017967.9744362</v>
      </c>
      <c r="D35" s="100" t="n">
        <v>266882255.703103</v>
      </c>
      <c r="E35" s="100">
        <f>D35*F35</f>
        <v/>
      </c>
      <c r="F35" s="3" t="n">
        <v>0.202198147827591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inlineStr">
        <is>
          <t>待15号更新最终</t>
        </is>
      </c>
    </row>
    <row r="36">
      <c r="B36" s="5" t="inlineStr">
        <is>
          <t>7月MTD</t>
        </is>
      </c>
      <c r="C36" s="100" t="n">
        <v>22775804.083216</v>
      </c>
      <c r="D36" s="100" t="n">
        <v>15291376.497635</v>
      </c>
      <c r="E36" s="100">
        <f>D36*F36</f>
        <v/>
      </c>
      <c r="F36" s="3" t="n">
        <v>0.1967206649980933</v>
      </c>
      <c r="G36" s="3" t="n">
        <v>0.2088749940488895</v>
      </c>
      <c r="H36" s="3">
        <f>F36-G36</f>
        <v/>
      </c>
      <c r="I36" s="101">
        <f>F36/G36</f>
        <v/>
      </c>
      <c r="J36" s="100">
        <f>D36*H36</f>
        <v/>
      </c>
      <c r="K36" s="14" t="inlineStr">
        <is>
          <t>截止3号0点</t>
        </is>
      </c>
    </row>
    <row r="37">
      <c r="B37" s="5" t="inlineStr">
        <is>
          <t>YTD</t>
        </is>
      </c>
      <c r="C37" s="100">
        <f>C34+C35+C36</f>
        <v/>
      </c>
      <c r="D37" s="100">
        <f>D34+D35+D36</f>
        <v/>
      </c>
      <c r="E37" s="100">
        <f>E34+E35+E36</f>
        <v/>
      </c>
      <c r="F37" s="3">
        <f>E37/D37</f>
        <v/>
      </c>
      <c r="G37" s="3">
        <f>F37-(J37/D37)</f>
        <v/>
      </c>
      <c r="H37" s="3">
        <f>F37-G37</f>
        <v/>
      </c>
      <c r="I37" s="101">
        <f>F37/G37</f>
        <v/>
      </c>
      <c r="J37" s="100">
        <f>SUM(J34:J36)</f>
        <v/>
      </c>
    </row>
    <row r="38">
      <c r="B38" s="5" t="inlineStr">
        <is>
          <t>全年目标</t>
        </is>
      </c>
      <c r="C38" s="100">
        <f>C37</f>
        <v/>
      </c>
      <c r="D38" s="100">
        <f>D37</f>
        <v/>
      </c>
      <c r="E38" s="100">
        <f>E37</f>
        <v/>
      </c>
      <c r="F38" s="11">
        <f>F37</f>
        <v/>
      </c>
      <c r="G38" s="3" t="n">
        <v>0.1914701443277041</v>
      </c>
      <c r="H38" s="3">
        <f>F38-G38</f>
        <v/>
      </c>
      <c r="I38" s="101">
        <f>F38/G38</f>
        <v/>
      </c>
      <c r="J38" s="100">
        <f>D38*H38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113.993424552</v>
      </c>
      <c r="D45" s="105" t="n">
        <v>117.112</v>
      </c>
      <c r="E45" s="105" t="n">
        <v>0</v>
      </c>
      <c r="F45" s="7" t="n">
        <v>0.973371</v>
      </c>
      <c r="G45" s="7" t="n">
        <v>0.026629</v>
      </c>
      <c r="H45" s="101" t="n">
        <v>0.795024</v>
      </c>
      <c r="I45" s="101" t="n">
        <v>0.82358</v>
      </c>
      <c r="J45" s="15" t="n">
        <v>-2.8556</v>
      </c>
      <c r="K45" s="106" t="n">
        <v>-2</v>
      </c>
      <c r="L45" s="101" t="n">
        <v>0.992406</v>
      </c>
      <c r="M45" s="101" t="n">
        <v>0.8542799999999999</v>
      </c>
      <c r="N45" s="15" t="n">
        <v>13.8126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0.531453</v>
      </c>
      <c r="G46" s="7" t="n">
        <v>0.468547</v>
      </c>
      <c r="H46" s="101" t="n">
        <v>0.8861830000000001</v>
      </c>
      <c r="I46" s="101" t="n">
        <v>0.861343</v>
      </c>
      <c r="J46" s="15" t="n">
        <v>2.484</v>
      </c>
      <c r="K46" s="106" t="n">
        <v>-2</v>
      </c>
      <c r="L46" s="101" t="n">
        <v>0.949923</v>
      </c>
      <c r="M46" s="101" t="n">
        <v>0.8920429999999999</v>
      </c>
      <c r="N46" s="15" t="n">
        <v>5.788000000000011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120</v>
      </c>
      <c r="D47" s="105" t="n">
        <v>120</v>
      </c>
      <c r="E47" s="105" t="n">
        <v>120</v>
      </c>
      <c r="F47" s="7" t="n">
        <v>0.919815</v>
      </c>
      <c r="G47" s="7" t="n">
        <v>0.08018500000000001</v>
      </c>
      <c r="H47" s="101" t="n">
        <v>0.755246</v>
      </c>
      <c r="I47" s="101" t="n">
        <v>0.788981</v>
      </c>
      <c r="J47" s="15" t="n">
        <v>-3.3735</v>
      </c>
      <c r="K47" s="106" t="n">
        <v>-2</v>
      </c>
      <c r="L47" s="101" t="n">
        <v>0.77584</v>
      </c>
      <c r="M47" s="101" t="n">
        <v>0.8196809999999999</v>
      </c>
      <c r="N47" s="15" t="n">
        <v>-4.384099999999989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78.170427864</v>
      </c>
      <c r="D48" s="105" t="n">
        <v>89.514</v>
      </c>
      <c r="E48" s="105" t="n">
        <v>0</v>
      </c>
      <c r="F48" s="7" t="n">
        <v>0.8732760000000001</v>
      </c>
      <c r="G48" s="7" t="n">
        <v>0.126724</v>
      </c>
      <c r="H48" s="101" t="n">
        <v>0.812524</v>
      </c>
      <c r="I48" s="101" t="n">
        <v>0.827281</v>
      </c>
      <c r="J48" s="15" t="n">
        <v>-1.4757</v>
      </c>
      <c r="K48" s="106" t="n">
        <v>-2</v>
      </c>
      <c r="L48" s="101" t="n">
        <v>0.876089</v>
      </c>
      <c r="M48" s="101" t="n">
        <v>0.8579809999999999</v>
      </c>
      <c r="N48" s="15" t="n">
        <v>1.810800000000015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0.82184</v>
      </c>
      <c r="G49" s="7" t="n">
        <v>0.17816</v>
      </c>
      <c r="H49" s="101" t="n">
        <v>0.885202</v>
      </c>
      <c r="I49" s="101" t="n">
        <v>0.83172</v>
      </c>
      <c r="J49" s="15" t="n">
        <v>5.3482</v>
      </c>
      <c r="K49" s="106" t="n">
        <v>-2</v>
      </c>
      <c r="L49" s="101" t="n">
        <v>0.885636</v>
      </c>
      <c r="M49" s="101" t="n">
        <v>0.8624199999999999</v>
      </c>
      <c r="N49" s="15" t="n">
        <v>2.321600000000004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0.725952</v>
      </c>
      <c r="I50" s="101" t="n">
        <v>0.851125</v>
      </c>
      <c r="J50" s="15" t="n">
        <v>-12.5173</v>
      </c>
      <c r="K50" s="106" t="n">
        <v>-2</v>
      </c>
      <c r="L50" s="101" t="inlineStr">
        <is>
          <t>(NULL)</t>
        </is>
      </c>
      <c r="M50" s="101" t="n">
        <v>0.8818249999999999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inlineStr">
        <is>
          <t>去年内网价指</t>
        </is>
      </c>
      <c r="D67" s="83" t="inlineStr">
        <is>
          <t>今年内网价指</t>
        </is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0.9571694091959044</v>
      </c>
      <c r="D68" s="11" t="n">
        <v>0.9534994973348581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0.9589185714822225</v>
      </c>
      <c r="D69" s="11" t="n">
        <v>0.9079251194593112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0.9681390499279691</v>
      </c>
      <c r="D70" s="11" t="n">
        <v>0.8981930752223342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0.9569645315615172</v>
      </c>
      <c r="D71" s="11" t="n">
        <v>0.8682322819409692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0.987176939331088</v>
      </c>
      <c r="D72" s="11" t="n">
        <v>0.843760920920546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0.952955994800067</v>
      </c>
      <c r="D73" s="11" t="n">
        <v>0.8952566212638129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1438.333333333333</v>
      </c>
      <c r="D79" s="83" t="n">
        <v>0.7069524913093859</v>
      </c>
      <c r="E79" s="13" t="n">
        <v>0.892247</v>
      </c>
      <c r="F79" s="13" t="n">
        <v>0.8146325152</v>
      </c>
      <c r="G79" s="13" t="inlineStr">
        <is>
          <t>vs天猫目标</t>
        </is>
      </c>
      <c r="H79" s="83" t="n">
        <v>0.8853529999999999</v>
      </c>
      <c r="I79" s="83" t="n">
        <v>0.8207995184</v>
      </c>
      <c r="J79" s="83" t="inlineStr">
        <is>
          <t>vs抖音目标</t>
        </is>
      </c>
      <c r="K79" s="13" t="n">
        <v>0.7703349282296651</v>
      </c>
      <c r="L79" s="13" t="n">
        <v>0.8082191781</v>
      </c>
      <c r="M79" s="13" t="inlineStr">
        <is>
          <t>vs目标</t>
        </is>
      </c>
      <c r="N79" s="83" t="n">
        <v>0.0641322366998486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112.5</v>
      </c>
      <c r="D80" s="101" t="n">
        <v>0.2422222222222222</v>
      </c>
      <c r="E80" s="101" t="n">
        <v>0.725952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0.5</v>
      </c>
      <c r="L80" s="101" t="n">
        <v>0.8082191781</v>
      </c>
      <c r="M80" s="101" t="n">
        <v>-0.1240086517842105</v>
      </c>
      <c r="N80" s="101" t="n">
        <v>0.1621621621621622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343.5833333333333</v>
      </c>
      <c r="D81" s="101" t="n">
        <v>0.7184089255396556</v>
      </c>
      <c r="E81" s="101" t="n">
        <v>0.883168</v>
      </c>
      <c r="F81" s="101" t="n">
        <v>0.8066</v>
      </c>
      <c r="G81" s="101" t="inlineStr">
        <is>
          <t>(NULL)</t>
        </is>
      </c>
      <c r="H81" s="101" t="n">
        <v>0.8847429999999999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0.055196513113399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884.0833333333334</v>
      </c>
      <c r="D82" s="101" t="n">
        <v>0.7984729946272033</v>
      </c>
      <c r="E82" s="101" t="n">
        <v>0.909911</v>
      </c>
      <c r="F82" s="101" t="n">
        <v>0.8078</v>
      </c>
      <c r="G82" s="101" t="n">
        <v>0.15917</v>
      </c>
      <c r="H82" s="101" t="n">
        <v>0.887755</v>
      </c>
      <c r="I82" s="101" t="n">
        <v>0.8207995184</v>
      </c>
      <c r="J82" s="101" t="n">
        <v>0.1714954816000001</v>
      </c>
      <c r="K82" s="101" t="n">
        <v>0.7459459459459459</v>
      </c>
      <c r="L82" s="101" t="n">
        <v>0.8082191781</v>
      </c>
      <c r="M82" s="101" t="n">
        <v>0.1917808219</v>
      </c>
      <c r="N82" s="101" t="n">
        <v>0.0700038573046151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0.6666666666666667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0.25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95.33333333333333</v>
      </c>
      <c r="D85" s="101" t="n">
        <v>0.3653846153846154</v>
      </c>
      <c r="E85" s="101" t="n">
        <v>0.838268</v>
      </c>
      <c r="F85" s="101" t="n">
        <v>0.8087257009</v>
      </c>
      <c r="G85" s="101" t="inlineStr">
        <is>
          <t>(NULL)</t>
        </is>
      </c>
      <c r="H85" s="101" t="n">
        <v>0.8113939999999999</v>
      </c>
      <c r="I85" s="101" t="n">
        <v>0.8207995184</v>
      </c>
      <c r="J85" s="101" t="inlineStr">
        <is>
          <t>(NULL)</t>
        </is>
      </c>
      <c r="K85" s="101" t="inlineStr">
        <is>
          <t>(NULL)</t>
        </is>
      </c>
      <c r="L85" s="101" t="n">
        <v>0.8082191781</v>
      </c>
      <c r="M85" s="101" t="inlineStr">
        <is>
          <t>(NULL)</t>
        </is>
      </c>
      <c r="N85" s="101" t="n">
        <v>0.0199302441454908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1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17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>
        <f>SUM(D116:D118)</f>
        <v/>
      </c>
      <c r="E115" s="101">
        <f>D115/C115</f>
        <v/>
      </c>
      <c r="F115" s="100">
        <f>SUM(F116:F118)</f>
        <v/>
      </c>
      <c r="G115" s="101">
        <f>D115/F115-1</f>
        <v/>
      </c>
      <c r="H115" s="100">
        <f>SUM(H116:H118)</f>
        <v/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179111.31</v>
      </c>
      <c r="E116" s="101">
        <f>D116/C116</f>
        <v/>
      </c>
      <c r="F116" s="100" t="n">
        <v>78837.21000000001</v>
      </c>
      <c r="G116" s="101">
        <f>D116/F116-1</f>
        <v/>
      </c>
      <c r="H116" s="100">
        <f>C116*H12/C12</f>
        <v/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347193.34</v>
      </c>
      <c r="E117" s="101">
        <f>D117/C117</f>
        <v/>
      </c>
      <c r="F117" s="100" t="n">
        <v>615447.34</v>
      </c>
      <c r="G117" s="101">
        <f>D117/F117-1</f>
        <v/>
      </c>
      <c r="H117" s="100">
        <f>C117*H12/C12</f>
        <v/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742</v>
      </c>
      <c r="E118" s="101">
        <f>D118/C118</f>
        <v/>
      </c>
      <c r="F118" s="100" t="n">
        <v>30429.86</v>
      </c>
      <c r="G118" s="101">
        <f>D118/F118-1</f>
        <v/>
      </c>
      <c r="H118" s="100">
        <f>C118*H12/C12</f>
        <v/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0.2113332251516544</v>
      </c>
      <c r="D132" s="95" t="n">
        <v>0.336799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7910818.583333333</v>
      </c>
      <c r="J132" s="1" t="n">
        <v>1499932.800393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4348799</v>
      </c>
      <c r="J133" s="103" t="n">
        <v>2267468.34835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2026-07-13T03:00:48Z</dcterms:modified>
  <cp:lastModifiedBy>捉鱼(潘卓云)[时尚服饰事业部]</cp:lastModifiedBy>
  <cp:lastPrinted>2026-07-06T01:24:42Z</cp:lastPrinted>
</cp:coreProperties>
</file>