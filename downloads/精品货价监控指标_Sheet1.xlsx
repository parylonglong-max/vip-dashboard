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2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46208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8365729.168039998</v>
      </c>
      <c r="E6" s="101">
        <f>D6/C6</f>
        <v/>
      </c>
      <c r="F6" s="100" t="n">
        <v>7888941.65873</v>
      </c>
      <c r="G6" s="101">
        <f>D6/F6-1</f>
        <v/>
      </c>
      <c r="H6" s="100" t="n">
        <v>9230830.973002382</v>
      </c>
      <c r="I6" s="101">
        <f>D6/H6</f>
        <v/>
      </c>
      <c r="J6" s="100" t="n">
        <v>9200000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11186465.20426</v>
      </c>
      <c r="E7" s="101">
        <f>D7/C7</f>
        <v/>
      </c>
      <c r="F7" s="100" t="n">
        <v>13256328.96626</v>
      </c>
      <c r="G7" s="101">
        <f>D7/F7-1</f>
        <v/>
      </c>
      <c r="H7" s="100" t="n">
        <v>16967966.69595202</v>
      </c>
      <c r="I7" s="101">
        <f>D7/H7</f>
        <v/>
      </c>
      <c r="J7" s="100" t="n">
        <v>16627604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1377541.48113</v>
      </c>
      <c r="E8" s="101">
        <f>D8/C8</f>
        <v/>
      </c>
      <c r="F8" s="100" t="n">
        <v>833421.4057400001</v>
      </c>
      <c r="G8" s="101">
        <f>D8/F8-1</f>
        <v/>
      </c>
      <c r="H8" s="100" t="n">
        <v>1213083.387371968</v>
      </c>
      <c r="I8" s="101">
        <f>D8/H8</f>
        <v/>
      </c>
      <c r="J8" s="100" t="n">
        <v>1320000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10031145.92848</v>
      </c>
      <c r="E9" s="101">
        <f>D9/C9</f>
        <v/>
      </c>
      <c r="F9" s="100" t="n">
        <v>9086020.86906</v>
      </c>
      <c r="G9" s="101">
        <f>D9/F9-1</f>
        <v/>
      </c>
      <c r="H9" s="100" t="n">
        <v>11311977.79730134</v>
      </c>
      <c r="I9" s="101">
        <f>D9/H9</f>
        <v/>
      </c>
      <c r="J9" s="100" t="n">
        <v>9571860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6985790.939379999</v>
      </c>
      <c r="E10" s="101">
        <f>D10/C10</f>
        <v/>
      </c>
      <c r="F10" s="100" t="n">
        <v>7129930.010129999</v>
      </c>
      <c r="G10" s="101">
        <f>D10/F10-1</f>
        <v/>
      </c>
      <c r="H10" s="100" t="n">
        <v>8483983.347976008</v>
      </c>
      <c r="I10" s="101">
        <f>D10/H10</f>
        <v/>
      </c>
      <c r="J10" s="100" t="n">
        <v>7900000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6050136.903990002</v>
      </c>
      <c r="E11" s="101">
        <f>D11/C11</f>
        <v/>
      </c>
      <c r="F11" s="100" t="n">
        <v>6406642.700529999</v>
      </c>
      <c r="G11" s="101">
        <f>D11/F11-1</f>
        <v/>
      </c>
      <c r="H11" s="100" t="n">
        <v>8020037.618408356</v>
      </c>
      <c r="I11" s="101">
        <f>D11/H11</f>
        <v/>
      </c>
      <c r="J11" s="100" t="n">
        <v>7896160.52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401017967.9744362</v>
      </c>
      <c r="D35" s="100" t="n">
        <v>266882255.703103</v>
      </c>
      <c r="E35" s="100">
        <f>D35*F35</f>
        <v/>
      </c>
      <c r="F35" s="3" t="n">
        <v>0.202198147827591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inlineStr">
        <is>
          <t>待15号更新最终</t>
        </is>
      </c>
    </row>
    <row r="36">
      <c r="B36" s="5" t="inlineStr">
        <is>
          <t>7月MTD</t>
        </is>
      </c>
      <c r="C36" s="100" t="n">
        <v>22775804.083216</v>
      </c>
      <c r="D36" s="100" t="n">
        <v>15291376.497635</v>
      </c>
      <c r="E36" s="100">
        <f>D36*F36</f>
        <v/>
      </c>
      <c r="F36" s="3" t="n">
        <v>0.1967206649980933</v>
      </c>
      <c r="G36" s="3" t="n">
        <v>0.2088749940488895</v>
      </c>
      <c r="H36" s="3">
        <f>F36-G36</f>
        <v/>
      </c>
      <c r="I36" s="101">
        <f>F36/G36</f>
        <v/>
      </c>
      <c r="J36" s="100">
        <f>D36*H36</f>
        <v/>
      </c>
      <c r="K36" s="14" t="inlineStr">
        <is>
          <t>截止3号0点</t>
        </is>
      </c>
    </row>
    <row r="37">
      <c r="B37" s="5" t="inlineStr">
        <is>
          <t>YTD</t>
        </is>
      </c>
      <c r="C37" s="100">
        <f>C34+C35+C36</f>
        <v/>
      </c>
      <c r="D37" s="100">
        <f>D34+D35+D36</f>
        <v/>
      </c>
      <c r="E37" s="100">
        <f>E34+E35+E36</f>
        <v/>
      </c>
      <c r="F37" s="3">
        <f>E37/D37</f>
        <v/>
      </c>
      <c r="G37" s="3">
        <f>F37-(J37/D37)</f>
        <v/>
      </c>
      <c r="H37" s="3">
        <f>F37-G37</f>
        <v/>
      </c>
      <c r="I37" s="101">
        <f>F37/G37</f>
        <v/>
      </c>
      <c r="J37" s="100">
        <f>SUM(J34:J36)</f>
        <v/>
      </c>
    </row>
    <row r="38">
      <c r="B38" s="5" t="inlineStr">
        <is>
          <t>全年目标</t>
        </is>
      </c>
      <c r="C38" s="100">
        <f>C37</f>
        <v/>
      </c>
      <c r="D38" s="100">
        <f>D37</f>
        <v/>
      </c>
      <c r="E38" s="100">
        <f>E37</f>
        <v/>
      </c>
      <c r="F38" s="11">
        <f>F37</f>
        <v/>
      </c>
      <c r="G38" s="3" t="n">
        <v>0.1914701443277041</v>
      </c>
      <c r="H38" s="3">
        <f>F38-G38</f>
        <v/>
      </c>
      <c r="I38" s="101">
        <f>F38/G38</f>
        <v/>
      </c>
      <c r="J38" s="100">
        <f>D38*H38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116.50956</v>
      </c>
      <c r="D45" s="105" t="n">
        <v>120</v>
      </c>
      <c r="E45" s="105" t="n">
        <v>0</v>
      </c>
      <c r="F45" s="7" t="n">
        <v>0.970913</v>
      </c>
      <c r="G45" s="7" t="n">
        <v>0.029087</v>
      </c>
      <c r="H45" s="101" t="n">
        <v>0.794098</v>
      </c>
      <c r="I45" s="101" t="n">
        <v>0.838179</v>
      </c>
      <c r="J45" s="15" t="n">
        <v>-4.4081</v>
      </c>
      <c r="K45" s="106" t="n">
        <v>-2</v>
      </c>
      <c r="L45" s="101" t="n">
        <v>0.993905</v>
      </c>
      <c r="M45" s="101" t="n">
        <v>0.8688789999999998</v>
      </c>
      <c r="N45" s="15" t="n">
        <v>12.50260000000002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0.395096</v>
      </c>
      <c r="G46" s="7" t="n">
        <v>0.604904</v>
      </c>
      <c r="H46" s="101" t="n">
        <v>0.865675</v>
      </c>
      <c r="I46" s="101" t="n">
        <v>0.86239</v>
      </c>
      <c r="J46" s="15" t="n">
        <v>0.3285</v>
      </c>
      <c r="K46" s="106" t="n">
        <v>-2</v>
      </c>
      <c r="L46" s="101" t="n">
        <v>0.95884</v>
      </c>
      <c r="M46" s="101" t="n">
        <v>0.8930899999999999</v>
      </c>
      <c r="N46" s="15" t="n">
        <v>6.575000000000003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0</v>
      </c>
      <c r="D47" s="105" t="n">
        <v>0</v>
      </c>
      <c r="E47" s="105" t="n">
        <v>0</v>
      </c>
      <c r="F47" s="7" t="n">
        <v>0.923305</v>
      </c>
      <c r="G47" s="7" t="n">
        <v>0.076695</v>
      </c>
      <c r="H47" s="101" t="n">
        <v>0.78331</v>
      </c>
      <c r="I47" s="101" t="n">
        <v>0.774099</v>
      </c>
      <c r="J47" s="15" t="n">
        <v>0.9211</v>
      </c>
      <c r="K47" s="106" t="n">
        <v>-2</v>
      </c>
      <c r="L47" s="101" t="n">
        <v>0.911517</v>
      </c>
      <c r="M47" s="101" t="n">
        <v>0.8047989999999998</v>
      </c>
      <c r="N47" s="15" t="n">
        <v>10.67180000000002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96.852090984</v>
      </c>
      <c r="D48" s="105" t="n">
        <v>108.658</v>
      </c>
      <c r="E48" s="105" t="n">
        <v>0</v>
      </c>
      <c r="F48" s="7" t="n">
        <v>0.891348</v>
      </c>
      <c r="G48" s="7" t="n">
        <v>0.108652</v>
      </c>
      <c r="H48" s="101" t="n">
        <v>0.805346</v>
      </c>
      <c r="I48" s="101" t="n">
        <v>0.8296750000000001</v>
      </c>
      <c r="J48" s="15" t="n">
        <v>-2.4329</v>
      </c>
      <c r="K48" s="106" t="n">
        <v>-2</v>
      </c>
      <c r="L48" s="101" t="n">
        <v>0.89014</v>
      </c>
      <c r="M48" s="101" t="n">
        <v>0.8603749999999999</v>
      </c>
      <c r="N48" s="15" t="n">
        <v>2.976500000000001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0.8452229999999999</v>
      </c>
      <c r="G49" s="7" t="n">
        <v>0.154777</v>
      </c>
      <c r="H49" s="101" t="n">
        <v>0.891162</v>
      </c>
      <c r="I49" s="101" t="n">
        <v>0.826307</v>
      </c>
      <c r="J49" s="15" t="n">
        <v>6.4855</v>
      </c>
      <c r="K49" s="106" t="n">
        <v>-2</v>
      </c>
      <c r="L49" s="101" t="n">
        <v>0.89959</v>
      </c>
      <c r="M49" s="101" t="n">
        <v>0.857007</v>
      </c>
      <c r="N49" s="15" t="n">
        <v>4.258300000000006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inlineStr">
        <is>
          <t>(NULL)</t>
        </is>
      </c>
      <c r="D50" s="105" t="inlineStr">
        <is>
          <t>(NULL)</t>
        </is>
      </c>
      <c r="E50" s="105" t="inlineStr">
        <is>
          <t>(NULL)</t>
        </is>
      </c>
      <c r="F50" s="7" t="inlineStr">
        <is>
          <t>(NULL)</t>
        </is>
      </c>
      <c r="G50" s="7" t="inlineStr">
        <is>
          <t>(NULL)</t>
        </is>
      </c>
      <c r="H50" s="101" t="inlineStr">
        <is>
          <t>(NULL)</t>
        </is>
      </c>
      <c r="I50" s="101" t="n">
        <v>0.842755</v>
      </c>
      <c r="J50" s="15" t="inlineStr">
        <is>
          <t>(NULL)</t>
        </is>
      </c>
      <c r="K50" s="106" t="n">
        <v>-2</v>
      </c>
      <c r="L50" s="101" t="inlineStr">
        <is>
          <t>(NULL)</t>
        </is>
      </c>
      <c r="M50" s="101" t="n">
        <v>0.8734549999999999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inlineStr">
        <is>
          <t>日均6高商品数</t>
        </is>
      </c>
      <c r="D79" s="83" t="inlineStr">
        <is>
          <t>可比率</t>
        </is>
      </c>
      <c r="E79" s="13" t="inlineStr">
        <is>
          <t>天猫价格指数</t>
        </is>
      </c>
      <c r="F79" s="13" t="inlineStr">
        <is>
          <t>天猫价指目标</t>
        </is>
      </c>
      <c r="G79" s="13" t="inlineStr">
        <is>
          <t>vs天猫目标</t>
        </is>
      </c>
      <c r="H79" s="83" t="inlineStr">
        <is>
          <t>抖音价格指数</t>
        </is>
      </c>
      <c r="I79" s="83" t="inlineStr">
        <is>
          <t>抖音价指目标</t>
        </is>
      </c>
      <c r="J79" s="83" t="inlineStr">
        <is>
          <t>vs抖音目标</t>
        </is>
      </c>
      <c r="K79" s="13" t="inlineStr">
        <is>
          <t>调价率</t>
        </is>
      </c>
      <c r="L79" s="13" t="inlineStr">
        <is>
          <t>调价率目标</t>
        </is>
      </c>
      <c r="M79" s="13" t="inlineStr">
        <is>
          <t>vs目标</t>
        </is>
      </c>
      <c r="N79" s="83" t="inlineStr">
        <is>
          <t>整体断货率</t>
        </is>
      </c>
      <c r="O79" s="83" t="inlineStr">
        <is>
          <t>断货率目标</t>
        </is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1453</v>
      </c>
      <c r="D80" s="101" t="n">
        <v>0.700963523743978</v>
      </c>
      <c r="E80" s="101" t="n">
        <v>0.903735</v>
      </c>
      <c r="F80" s="101" t="n">
        <v>0.8146325152</v>
      </c>
      <c r="G80" s="101" t="n">
        <v>0.1383624848</v>
      </c>
      <c r="H80" s="101" t="n">
        <v>0.912928</v>
      </c>
      <c r="I80" s="101" t="n">
        <v>0.8207995184</v>
      </c>
      <c r="J80" s="101" t="n">
        <v>0.1598504816</v>
      </c>
      <c r="K80" s="101" t="n">
        <v>0.752212389380531</v>
      </c>
      <c r="L80" s="101" t="n">
        <v>0.8082191781</v>
      </c>
      <c r="M80" s="101" t="n">
        <v>-0.1240086517842105</v>
      </c>
      <c r="N80" s="101" t="n">
        <v>0.0669070037710789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110.75</v>
      </c>
      <c r="D81" s="101" t="n">
        <v>0.2212189616252822</v>
      </c>
      <c r="E81" s="101" t="inlineStr">
        <is>
          <t>(NULL)</t>
        </is>
      </c>
      <c r="F81" s="101" t="n">
        <v>0.7556221149</v>
      </c>
      <c r="G81" s="101" t="inlineStr">
        <is>
          <t>(NULL)</t>
        </is>
      </c>
      <c r="H81" s="101" t="inlineStr">
        <is>
          <t>(NULL)</t>
        </is>
      </c>
      <c r="I81" s="101" t="n">
        <v>0.8207995184</v>
      </c>
      <c r="J81" s="101" t="inlineStr">
        <is>
          <t>(NULL)</t>
        </is>
      </c>
      <c r="K81" s="101" t="n">
        <v>0.5</v>
      </c>
      <c r="L81" s="101" t="n">
        <v>0.8082191781</v>
      </c>
      <c r="M81" s="101" t="n">
        <v>-0.8082191781</v>
      </c>
      <c r="N81" s="101" t="n">
        <v>0.2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357.25</v>
      </c>
      <c r="D82" s="101" t="n">
        <v>0.7123862841147656</v>
      </c>
      <c r="E82" s="101" t="n">
        <v>0.897056</v>
      </c>
      <c r="F82" s="101" t="n">
        <v>0.8066</v>
      </c>
      <c r="G82" s="101" t="n">
        <v>0.15917</v>
      </c>
      <c r="H82" s="101" t="n">
        <v>0.914577</v>
      </c>
      <c r="I82" s="101" t="n">
        <v>0.8207995184</v>
      </c>
      <c r="J82" s="101" t="n">
        <v>0.1714954816000001</v>
      </c>
      <c r="K82" s="101" t="n">
        <v>1</v>
      </c>
      <c r="L82" s="101" t="n">
        <v>0.8082191781</v>
      </c>
      <c r="M82" s="101" t="n">
        <v>0.1917808219</v>
      </c>
      <c r="N82" s="101" t="n">
        <v>0.0491341991341991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887</v>
      </c>
      <c r="D83" s="101" t="n">
        <v>0.7919954904171363</v>
      </c>
      <c r="E83" s="101" t="n">
        <v>0.917624</v>
      </c>
      <c r="F83" s="101" t="n">
        <v>0.8078</v>
      </c>
      <c r="G83" s="101" t="n">
        <v>0.125283</v>
      </c>
      <c r="H83" s="101" t="n">
        <v>0.902262</v>
      </c>
      <c r="I83" s="101" t="n">
        <v>0.8207995184</v>
      </c>
      <c r="J83" s="101" t="n">
        <v>0.09684448160000003</v>
      </c>
      <c r="K83" s="101" t="n">
        <v>0.7378640776699029</v>
      </c>
      <c r="L83" s="101" t="n">
        <v>0.8082191781</v>
      </c>
      <c r="M83" s="101" t="n">
        <v>-0.1317485898647059</v>
      </c>
      <c r="N83" s="101" t="n">
        <v>0.0764988897113249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1</v>
      </c>
      <c r="D84" s="101" t="n">
        <v>0.5</v>
      </c>
      <c r="E84" s="101" t="inlineStr">
        <is>
          <t>(NULL)</t>
        </is>
      </c>
      <c r="F84" s="101" t="n">
        <v>0.8417108422</v>
      </c>
      <c r="G84" s="101" t="inlineStr">
        <is>
          <t>(NULL)</t>
        </is>
      </c>
      <c r="H84" s="101" t="n">
        <v>1</v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2</v>
      </c>
      <c r="D85" s="101" t="n">
        <v>0.625</v>
      </c>
      <c r="E85" s="101" t="inlineStr">
        <is>
          <t>(NULL)</t>
        </is>
      </c>
      <c r="F85" s="101" t="n">
        <v>0.7771375317</v>
      </c>
      <c r="G85" s="101" t="inlineStr">
        <is>
          <t>(NULL)</t>
        </is>
      </c>
      <c r="H85" s="101" t="inlineStr">
        <is>
          <t>(NULL)</t>
        </is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0.1666666666666667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inlineStr">
        <is>
          <t>已引进</t>
        </is>
      </c>
      <c r="D91" s="83" t="inlineStr">
        <is>
          <t>未引入</t>
        </is>
      </c>
      <c r="E91" s="83" t="inlineStr">
        <is>
          <t>暂不引进</t>
        </is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0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18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>
        <f>SUM(D116:D118)</f>
        <v/>
      </c>
      <c r="E115" s="101">
        <f>D115/C115</f>
        <v/>
      </c>
      <c r="F115" s="100">
        <f>SUM(F116:F118)</f>
        <v/>
      </c>
      <c r="G115" s="101">
        <f>D115/F115-1</f>
        <v/>
      </c>
      <c r="H115" s="100">
        <f>SUM(H116:H118)</f>
        <v/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179111.31</v>
      </c>
      <c r="E116" s="101">
        <f>D116/C116</f>
        <v/>
      </c>
      <c r="F116" s="100" t="n">
        <v>78837.21000000001</v>
      </c>
      <c r="G116" s="101">
        <f>D116/F116-1</f>
        <v/>
      </c>
      <c r="H116" s="100">
        <f>C116*H12/C12</f>
        <v/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347193.34</v>
      </c>
      <c r="E117" s="101">
        <f>D117/C117</f>
        <v/>
      </c>
      <c r="F117" s="100" t="n">
        <v>615447.34</v>
      </c>
      <c r="G117" s="101">
        <f>D117/F117-1</f>
        <v/>
      </c>
      <c r="H117" s="100">
        <f>C117*H12/C12</f>
        <v/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742</v>
      </c>
      <c r="E118" s="101">
        <f>D118/C118</f>
        <v/>
      </c>
      <c r="F118" s="100" t="n">
        <v>30429.86</v>
      </c>
      <c r="G118" s="101">
        <f>D118/F118-1</f>
        <v/>
      </c>
      <c r="H118" s="100">
        <f>C118*H12/C12</f>
        <v/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inlineStr">
        <is>
          <t>曝光</t>
        </is>
      </c>
      <c r="D132" s="95" t="inlineStr">
        <is>
          <t>APP销售</t>
        </is>
      </c>
      <c r="E132" s="85" t="inlineStr">
        <is>
          <t>实际</t>
        </is>
      </c>
      <c r="F132" s="85" t="inlineStr">
        <is>
          <t>目标</t>
        </is>
      </c>
      <c r="G132" s="85" t="inlineStr">
        <is>
          <t>VS目标差距</t>
        </is>
      </c>
      <c r="H132" s="85" t="inlineStr">
        <is>
          <t>完成率</t>
        </is>
      </c>
      <c r="I132" s="1" t="inlineStr">
        <is>
          <t>曝光</t>
        </is>
      </c>
      <c r="J132" s="1" t="inlineStr">
        <is>
          <t>APP销售</t>
        </is>
      </c>
    </row>
    <row r="133">
      <c r="B133" s="5" t="inlineStr">
        <is>
          <t>四五星</t>
        </is>
      </c>
      <c r="C133" s="112" t="n">
        <v>0.1892211185637026</v>
      </c>
      <c r="D133" s="112" t="n">
        <v>0.313798</v>
      </c>
      <c r="E133" s="21">
        <f>D133/C133</f>
        <v/>
      </c>
      <c r="F133" s="21" t="n">
        <v>2.037636278655495</v>
      </c>
      <c r="G133" s="22">
        <f>E133-F133</f>
        <v/>
      </c>
      <c r="H133" s="101">
        <f>E133/F133</f>
        <v/>
      </c>
      <c r="I133" s="103" t="n">
        <v>7043976.25</v>
      </c>
      <c r="J133" s="103" t="n">
        <v>1344905.21006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2026-07-10T07:57:05Z</dcterms:modified>
  <cp:lastModifiedBy>捉鱼(潘卓云)[时尚服饰事业部]</cp:lastModifiedBy>
  <cp:lastPrinted>2026-07-06T01:24:42Z</cp:lastPrinted>
</cp:coreProperties>
</file>