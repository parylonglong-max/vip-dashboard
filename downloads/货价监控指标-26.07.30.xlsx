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comments3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整改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J45" authorId="0">
      <text>
        <r>
          <rPr>
            <sz val="11"/>
            <color rgb="FF000000"/>
            <rFont val="Source Han Sans VF"/>
            <family val="2"/>
          </rPr>
          <t xml:space="preserve">等于同比差值</t>
        </r>
      </text>
    </comment>
    <comment ref="N45" authorId="0">
      <text>
        <r>
          <rPr>
            <sz val="11"/>
            <color rgb="FF000000"/>
            <rFont val="Source Han Sans VF"/>
            <family val="2"/>
          </rPr>
          <t xml:space="preserve">等于实际价格指数减对标值；抖音对标值</t>
        </r>
        <r>
          <rPr>
            <sz val="11"/>
            <color rgb="FF000000"/>
            <rFont val="等线"/>
            <family val="2"/>
            <charset val="1"/>
          </rPr>
          <t xml:space="preserve">=</t>
        </r>
        <r>
          <rPr>
            <sz val="11"/>
            <color rgb="FF000000"/>
            <rFont val="Source Han Sans VF"/>
            <family val="2"/>
          </rPr>
          <t xml:space="preserve">天猫同期价格指数 </t>
        </r>
        <r>
          <rPr>
            <sz val="11"/>
            <color rgb="FF000000"/>
            <rFont val="等线"/>
            <family val="2"/>
            <charset val="1"/>
          </rPr>
          <t xml:space="preserve">+ </t>
        </r>
        <r>
          <rPr>
            <sz val="11"/>
            <color rgb="FF000000"/>
            <rFont val="Source Han Sans VF"/>
            <family val="2"/>
          </rPr>
          <t xml:space="preserve">抖音</t>
        </r>
        <r>
          <rPr>
            <sz val="11"/>
            <color rgb="FF000000"/>
            <rFont val="等线"/>
            <family val="2"/>
            <charset val="1"/>
          </rPr>
          <t xml:space="preserve">VS</t>
        </r>
        <r>
          <rPr>
            <sz val="11"/>
            <color rgb="FF000000"/>
            <rFont val="Source Han Sans VF"/>
            <family val="2"/>
          </rPr>
          <t xml:space="preserve">天猫价格指数提升值（按</t>
        </r>
        <r>
          <rPr>
            <sz val="11"/>
            <color rgb="FF000000"/>
            <rFont val="等线"/>
            <family val="2"/>
            <charset val="1"/>
          </rPr>
          <t xml:space="preserve">25</t>
        </r>
        <r>
          <rPr>
            <sz val="11"/>
            <color rgb="FF000000"/>
            <rFont val="Source Han Sans VF"/>
            <family val="2"/>
          </rPr>
          <t xml:space="preserve">年</t>
        </r>
        <r>
          <rPr>
            <sz val="11"/>
            <color rgb="FF000000"/>
            <rFont val="等线"/>
            <family val="2"/>
            <charset val="1"/>
          </rPr>
          <t xml:space="preserve">H2</t>
        </r>
        <r>
          <rPr>
            <sz val="11"/>
            <color rgb="FF000000"/>
            <rFont val="Source Han Sans VF"/>
            <family val="2"/>
          </rPr>
          <t xml:space="preserve">统计结果确定）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J35" authorId="0">
      <text>
        <r>
          <rPr>
            <sz val="11"/>
            <color rgb="FF000000"/>
            <rFont val="Source Han Sans VF"/>
            <family val="2"/>
          </rPr>
          <t xml:space="preserve">等于同比差值</t>
        </r>
      </text>
    </comment>
    <comment ref="N35" authorId="0">
      <text>
        <r>
          <rPr>
            <sz val="11"/>
            <color rgb="FF000000"/>
            <rFont val="Source Han Sans VF"/>
            <family val="2"/>
          </rPr>
          <t xml:space="preserve">等于实际价格指数减对标值；抖音对标值</t>
        </r>
        <r>
          <rPr>
            <sz val="11"/>
            <color rgb="FF000000"/>
            <rFont val="等线"/>
            <family val="2"/>
            <charset val="1"/>
          </rPr>
          <t xml:space="preserve">=</t>
        </r>
        <r>
          <rPr>
            <sz val="11"/>
            <color rgb="FF000000"/>
            <rFont val="Source Han Sans VF"/>
            <family val="2"/>
          </rPr>
          <t xml:space="preserve">天猫同期价格指数 </t>
        </r>
        <r>
          <rPr>
            <sz val="11"/>
            <color rgb="FF000000"/>
            <rFont val="等线"/>
            <family val="2"/>
            <charset val="1"/>
          </rPr>
          <t xml:space="preserve">+ </t>
        </r>
        <r>
          <rPr>
            <sz val="11"/>
            <color rgb="FF000000"/>
            <rFont val="Source Han Sans VF"/>
            <family val="2"/>
          </rPr>
          <t xml:space="preserve">抖音</t>
        </r>
        <r>
          <rPr>
            <sz val="11"/>
            <color rgb="FF000000"/>
            <rFont val="等线"/>
            <family val="2"/>
            <charset val="1"/>
          </rPr>
          <t xml:space="preserve">VS</t>
        </r>
        <r>
          <rPr>
            <sz val="11"/>
            <color rgb="FF000000"/>
            <rFont val="Source Han Sans VF"/>
            <family val="2"/>
          </rPr>
          <t xml:space="preserve">天猫价格指数提升值（按</t>
        </r>
        <r>
          <rPr>
            <sz val="11"/>
            <color rgb="FF000000"/>
            <rFont val="等线"/>
            <family val="2"/>
            <charset val="1"/>
          </rPr>
          <t xml:space="preserve">25</t>
        </r>
        <r>
          <rPr>
            <sz val="11"/>
            <color rgb="FF000000"/>
            <rFont val="Source Han Sans VF"/>
            <family val="2"/>
          </rPr>
          <t xml:space="preserve">年</t>
        </r>
        <r>
          <rPr>
            <sz val="11"/>
            <color rgb="FF000000"/>
            <rFont val="等线"/>
            <family val="2"/>
            <charset val="1"/>
          </rPr>
          <t xml:space="preserve">H2</t>
        </r>
        <r>
          <rPr>
            <sz val="11"/>
            <color rgb="FF000000"/>
            <rFont val="Source Han Sans VF"/>
            <family val="2"/>
          </rPr>
          <t xml:space="preserve">统计结果确定）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10" authorId="0">
      <text>
        <r>
          <rPr>
            <sz val="11"/>
            <color rgb="FF000000"/>
            <rFont val="Source Han Sans VF"/>
            <family val="2"/>
          </rPr>
          <t xml:space="preserve">等于同比差值</t>
        </r>
      </text>
    </comment>
  </commentList>
</comments>
</file>

<file path=xl/sharedStrings.xml><?xml version="1.0" encoding="utf-8"?>
<sst xmlns="http://schemas.openxmlformats.org/spreadsheetml/2006/main" count="722" uniqueCount="167">
  <si>
    <t xml:space="preserve">截止日期</t>
  </si>
  <si>
    <r>
      <rPr>
        <b val="true"/>
        <sz val="9"/>
        <color rgb="FF000000"/>
        <rFont val="微软雅黑"/>
        <family val="2"/>
        <charset val="134"/>
      </rPr>
      <t xml:space="preserve">0</t>
    </r>
    <r>
      <rPr>
        <b val="true"/>
        <sz val="9"/>
        <color rgb="FF000000"/>
        <rFont val="Source Han Sans VF"/>
        <family val="2"/>
      </rPr>
      <t xml:space="preserve">点</t>
    </r>
  </si>
  <si>
    <t xml:space="preserve">自营销售</t>
  </si>
  <si>
    <t xml:space="preserve">MTD</t>
  </si>
  <si>
    <t xml:space="preserve">小组</t>
  </si>
  <si>
    <t xml:space="preserve">月度目标</t>
  </si>
  <si>
    <t xml:space="preserve">月度完成</t>
  </si>
  <si>
    <t xml:space="preserve">月完成率</t>
  </si>
  <si>
    <t xml:space="preserve">同期</t>
  </si>
  <si>
    <t xml:space="preserve">业绩同比</t>
  </si>
  <si>
    <t xml:space="preserve">部门阶段目标</t>
  </si>
  <si>
    <t xml:space="preserve">阶段完成率</t>
  </si>
  <si>
    <t xml:space="preserve">小组阶段目标</t>
  </si>
  <si>
    <t xml:space="preserve">饰品1组</t>
  </si>
  <si>
    <t xml:space="preserve">饰品2组</t>
  </si>
  <si>
    <t xml:space="preserve">海淘组</t>
  </si>
  <si>
    <t xml:space="preserve">珠宝1组</t>
  </si>
  <si>
    <t xml:space="preserve">珠宝2组</t>
  </si>
  <si>
    <t xml:space="preserve">珠宝3组</t>
  </si>
  <si>
    <t xml:space="preserve">总</t>
  </si>
  <si>
    <t xml:space="preserve">历史月份完成</t>
  </si>
  <si>
    <t xml:space="preserve">YTD</t>
  </si>
  <si>
    <r>
      <rPr>
        <b val="true"/>
        <sz val="9"/>
        <color rgb="FFFFFFFF"/>
        <rFont val="微软雅黑"/>
        <family val="2"/>
        <charset val="134"/>
      </rPr>
      <t xml:space="preserve">1</t>
    </r>
    <r>
      <rPr>
        <b val="true"/>
        <sz val="9"/>
        <color rgb="FFFFFFFF"/>
        <rFont val="Source Han Sans VF"/>
        <family val="2"/>
      </rPr>
      <t xml:space="preserve">月</t>
    </r>
  </si>
  <si>
    <r>
      <rPr>
        <b val="true"/>
        <sz val="9"/>
        <color rgb="FFFFFFFF"/>
        <rFont val="微软雅黑"/>
        <family val="2"/>
        <charset val="134"/>
      </rPr>
      <t xml:space="preserve">2</t>
    </r>
    <r>
      <rPr>
        <b val="true"/>
        <sz val="9"/>
        <color rgb="FFFFFFFF"/>
        <rFont val="Source Han Sans VF"/>
        <family val="2"/>
      </rPr>
      <t xml:space="preserve">月</t>
    </r>
  </si>
  <si>
    <r>
      <rPr>
        <b val="true"/>
        <sz val="9"/>
        <color rgb="FFFFFFFF"/>
        <rFont val="微软雅黑"/>
        <family val="2"/>
        <charset val="134"/>
      </rPr>
      <t xml:space="preserve">3</t>
    </r>
    <r>
      <rPr>
        <b val="true"/>
        <sz val="9"/>
        <color rgb="FFFFFFFF"/>
        <rFont val="Source Han Sans VF"/>
        <family val="2"/>
      </rPr>
      <t xml:space="preserve">月</t>
    </r>
  </si>
  <si>
    <r>
      <rPr>
        <b val="true"/>
        <sz val="9"/>
        <color rgb="FFFFFFFF"/>
        <rFont val="微软雅黑"/>
        <family val="2"/>
        <charset val="134"/>
      </rPr>
      <t xml:space="preserve">4</t>
    </r>
    <r>
      <rPr>
        <b val="true"/>
        <sz val="9"/>
        <color rgb="FFFFFFFF"/>
        <rFont val="Source Han Sans VF"/>
        <family val="2"/>
      </rPr>
      <t xml:space="preserve">月</t>
    </r>
  </si>
  <si>
    <r>
      <rPr>
        <b val="true"/>
        <sz val="9"/>
        <color rgb="FFFFFFFF"/>
        <rFont val="微软雅黑"/>
        <family val="2"/>
        <charset val="134"/>
      </rPr>
      <t xml:space="preserve">5</t>
    </r>
    <r>
      <rPr>
        <b val="true"/>
        <sz val="9"/>
        <color rgb="FFFFFFFF"/>
        <rFont val="Source Han Sans VF"/>
        <family val="2"/>
      </rPr>
      <t xml:space="preserve">月</t>
    </r>
  </si>
  <si>
    <r>
      <rPr>
        <b val="true"/>
        <sz val="9"/>
        <color rgb="FFFFFFFF"/>
        <rFont val="微软雅黑"/>
        <family val="2"/>
        <charset val="134"/>
      </rPr>
      <t xml:space="preserve">6</t>
    </r>
    <r>
      <rPr>
        <b val="true"/>
        <sz val="9"/>
        <color rgb="FFFFFFFF"/>
        <rFont val="Source Han Sans VF"/>
        <family val="2"/>
      </rPr>
      <t xml:space="preserve">月</t>
    </r>
  </si>
  <si>
    <r>
      <rPr>
        <b val="true"/>
        <sz val="9"/>
        <color rgb="FFFFFFFF"/>
        <rFont val="微软雅黑"/>
        <family val="2"/>
        <charset val="134"/>
      </rPr>
      <t xml:space="preserve">YTD</t>
    </r>
    <r>
      <rPr>
        <b val="true"/>
        <sz val="9"/>
        <color rgb="FFFFFFFF"/>
        <rFont val="Source Han Sans VF"/>
        <family val="2"/>
      </rPr>
      <t xml:space="preserve">目标</t>
    </r>
  </si>
  <si>
    <r>
      <rPr>
        <b val="true"/>
        <sz val="9"/>
        <color rgb="FFFFFFFF"/>
        <rFont val="微软雅黑"/>
        <family val="2"/>
        <charset val="134"/>
      </rPr>
      <t xml:space="preserve">YTD</t>
    </r>
    <r>
      <rPr>
        <b val="true"/>
        <sz val="9"/>
        <color rgb="FFFFFFFF"/>
        <rFont val="Source Han Sans VF"/>
        <family val="2"/>
      </rPr>
      <t xml:space="preserve">完成</t>
    </r>
  </si>
  <si>
    <r>
      <rPr>
        <b val="true"/>
        <sz val="9"/>
        <color rgb="FFFFFFFF"/>
        <rFont val="微软雅黑"/>
        <family val="2"/>
        <charset val="134"/>
      </rPr>
      <t xml:space="preserve">YTD</t>
    </r>
    <r>
      <rPr>
        <b val="true"/>
        <sz val="9"/>
        <color rgb="FFFFFFFF"/>
        <rFont val="Source Han Sans VF"/>
        <family val="2"/>
      </rPr>
      <t xml:space="preserve">完成率</t>
    </r>
  </si>
  <si>
    <r>
      <rPr>
        <b val="true"/>
        <sz val="9"/>
        <color rgb="FFFFFFFF"/>
        <rFont val="微软雅黑"/>
        <family val="2"/>
        <charset val="134"/>
      </rPr>
      <t xml:space="preserve">YTD</t>
    </r>
    <r>
      <rPr>
        <b val="true"/>
        <sz val="9"/>
        <color rgb="FFFFFFFF"/>
        <rFont val="Source Han Sans VF"/>
        <family val="2"/>
      </rPr>
      <t xml:space="preserve">同期</t>
    </r>
  </si>
  <si>
    <r>
      <rPr>
        <b val="true"/>
        <sz val="9"/>
        <color rgb="FFFFFFFF"/>
        <rFont val="微软雅黑"/>
        <family val="2"/>
        <charset val="134"/>
      </rPr>
      <t xml:space="preserve">YTD</t>
    </r>
    <r>
      <rPr>
        <b val="true"/>
        <sz val="9"/>
        <color rgb="FFFFFFFF"/>
        <rFont val="Source Han Sans VF"/>
        <family val="2"/>
      </rPr>
      <t xml:space="preserve">业绩同比</t>
    </r>
  </si>
  <si>
    <r>
      <rPr>
        <b val="true"/>
        <sz val="9"/>
        <color rgb="FFFFFFFF"/>
        <rFont val="微软雅黑"/>
        <family val="2"/>
        <charset val="134"/>
      </rPr>
      <t xml:space="preserve">1</t>
    </r>
    <r>
      <rPr>
        <b val="true"/>
        <sz val="9"/>
        <color rgb="FFFFFFFF"/>
        <rFont val="Source Han Sans VF"/>
        <family val="2"/>
      </rPr>
      <t xml:space="preserve">月目标</t>
    </r>
  </si>
  <si>
    <r>
      <rPr>
        <b val="true"/>
        <sz val="9"/>
        <color rgb="FFFFFFFF"/>
        <rFont val="微软雅黑"/>
        <family val="2"/>
        <charset val="134"/>
      </rPr>
      <t xml:space="preserve">1</t>
    </r>
    <r>
      <rPr>
        <b val="true"/>
        <sz val="9"/>
        <color rgb="FFFFFFFF"/>
        <rFont val="Source Han Sans VF"/>
        <family val="2"/>
      </rPr>
      <t xml:space="preserve">月完成</t>
    </r>
  </si>
  <si>
    <r>
      <rPr>
        <b val="true"/>
        <sz val="9"/>
        <color rgb="FFFFFFFF"/>
        <rFont val="微软雅黑"/>
        <family val="2"/>
        <charset val="134"/>
      </rPr>
      <t xml:space="preserve">1</t>
    </r>
    <r>
      <rPr>
        <b val="true"/>
        <sz val="9"/>
        <color rgb="FFFFFFFF"/>
        <rFont val="Source Han Sans VF"/>
        <family val="2"/>
      </rPr>
      <t xml:space="preserve">月完成率</t>
    </r>
  </si>
  <si>
    <r>
      <rPr>
        <b val="true"/>
        <sz val="9"/>
        <color rgb="FFFFFFFF"/>
        <rFont val="微软雅黑"/>
        <family val="2"/>
        <charset val="134"/>
      </rPr>
      <t xml:space="preserve">2</t>
    </r>
    <r>
      <rPr>
        <b val="true"/>
        <sz val="9"/>
        <color rgb="FFFFFFFF"/>
        <rFont val="Source Han Sans VF"/>
        <family val="2"/>
      </rPr>
      <t xml:space="preserve">月目标</t>
    </r>
  </si>
  <si>
    <r>
      <rPr>
        <b val="true"/>
        <sz val="9"/>
        <color rgb="FFFFFFFF"/>
        <rFont val="微软雅黑"/>
        <family val="2"/>
        <charset val="134"/>
      </rPr>
      <t xml:space="preserve">2</t>
    </r>
    <r>
      <rPr>
        <b val="true"/>
        <sz val="9"/>
        <color rgb="FFFFFFFF"/>
        <rFont val="Source Han Sans VF"/>
        <family val="2"/>
      </rPr>
      <t xml:space="preserve">月完成</t>
    </r>
  </si>
  <si>
    <r>
      <rPr>
        <b val="true"/>
        <sz val="9"/>
        <color rgb="FFFFFFFF"/>
        <rFont val="微软雅黑"/>
        <family val="2"/>
        <charset val="134"/>
      </rPr>
      <t xml:space="preserve">2</t>
    </r>
    <r>
      <rPr>
        <b val="true"/>
        <sz val="9"/>
        <color rgb="FFFFFFFF"/>
        <rFont val="Source Han Sans VF"/>
        <family val="2"/>
      </rPr>
      <t xml:space="preserve">月完成率</t>
    </r>
  </si>
  <si>
    <r>
      <rPr>
        <b val="true"/>
        <sz val="9"/>
        <color rgb="FFFFFFFF"/>
        <rFont val="微软雅黑"/>
        <family val="2"/>
        <charset val="134"/>
      </rPr>
      <t xml:space="preserve">3</t>
    </r>
    <r>
      <rPr>
        <b val="true"/>
        <sz val="9"/>
        <color rgb="FFFFFFFF"/>
        <rFont val="Source Han Sans VF"/>
        <family val="2"/>
      </rPr>
      <t xml:space="preserve">月目标</t>
    </r>
  </si>
  <si>
    <r>
      <rPr>
        <b val="true"/>
        <sz val="9"/>
        <color rgb="FFFFFFFF"/>
        <rFont val="微软雅黑"/>
        <family val="2"/>
        <charset val="134"/>
      </rPr>
      <t xml:space="preserve">3</t>
    </r>
    <r>
      <rPr>
        <b val="true"/>
        <sz val="9"/>
        <color rgb="FFFFFFFF"/>
        <rFont val="Source Han Sans VF"/>
        <family val="2"/>
      </rPr>
      <t xml:space="preserve">月完成</t>
    </r>
  </si>
  <si>
    <r>
      <rPr>
        <b val="true"/>
        <sz val="9"/>
        <color rgb="FFFFFFFF"/>
        <rFont val="微软雅黑"/>
        <family val="2"/>
        <charset val="134"/>
      </rPr>
      <t xml:space="preserve">3</t>
    </r>
    <r>
      <rPr>
        <b val="true"/>
        <sz val="9"/>
        <color rgb="FFFFFFFF"/>
        <rFont val="Source Han Sans VF"/>
        <family val="2"/>
      </rPr>
      <t xml:space="preserve">月完成率</t>
    </r>
  </si>
  <si>
    <r>
      <rPr>
        <b val="true"/>
        <sz val="9"/>
        <color rgb="FFFFFFFF"/>
        <rFont val="微软雅黑"/>
        <family val="2"/>
        <charset val="134"/>
      </rPr>
      <t xml:space="preserve">4</t>
    </r>
    <r>
      <rPr>
        <b val="true"/>
        <sz val="9"/>
        <color rgb="FFFFFFFF"/>
        <rFont val="Source Han Sans VF"/>
        <family val="2"/>
      </rPr>
      <t xml:space="preserve">月目标</t>
    </r>
  </si>
  <si>
    <r>
      <rPr>
        <b val="true"/>
        <sz val="9"/>
        <color rgb="FFFFFFFF"/>
        <rFont val="微软雅黑"/>
        <family val="2"/>
        <charset val="134"/>
      </rPr>
      <t xml:space="preserve">4</t>
    </r>
    <r>
      <rPr>
        <b val="true"/>
        <sz val="9"/>
        <color rgb="FFFFFFFF"/>
        <rFont val="Source Han Sans VF"/>
        <family val="2"/>
      </rPr>
      <t xml:space="preserve">月完成</t>
    </r>
  </si>
  <si>
    <r>
      <rPr>
        <b val="true"/>
        <sz val="9"/>
        <color rgb="FFFFFFFF"/>
        <rFont val="微软雅黑"/>
        <family val="2"/>
        <charset val="134"/>
      </rPr>
      <t xml:space="preserve">4</t>
    </r>
    <r>
      <rPr>
        <b val="true"/>
        <sz val="9"/>
        <color rgb="FFFFFFFF"/>
        <rFont val="Source Han Sans VF"/>
        <family val="2"/>
      </rPr>
      <t xml:space="preserve">月完成率</t>
    </r>
  </si>
  <si>
    <r>
      <rPr>
        <b val="true"/>
        <sz val="9"/>
        <color rgb="FFFFFFFF"/>
        <rFont val="微软雅黑"/>
        <family val="2"/>
        <charset val="134"/>
      </rPr>
      <t xml:space="preserve">5</t>
    </r>
    <r>
      <rPr>
        <b val="true"/>
        <sz val="9"/>
        <color rgb="FFFFFFFF"/>
        <rFont val="Source Han Sans VF"/>
        <family val="2"/>
      </rPr>
      <t xml:space="preserve">月目标</t>
    </r>
  </si>
  <si>
    <r>
      <rPr>
        <b val="true"/>
        <sz val="9"/>
        <color rgb="FFFFFFFF"/>
        <rFont val="微软雅黑"/>
        <family val="2"/>
        <charset val="134"/>
      </rPr>
      <t xml:space="preserve">5</t>
    </r>
    <r>
      <rPr>
        <b val="true"/>
        <sz val="9"/>
        <color rgb="FFFFFFFF"/>
        <rFont val="Source Han Sans VF"/>
        <family val="2"/>
      </rPr>
      <t xml:space="preserve">月完成</t>
    </r>
  </si>
  <si>
    <r>
      <rPr>
        <b val="true"/>
        <sz val="9"/>
        <color rgb="FFFFFFFF"/>
        <rFont val="微软雅黑"/>
        <family val="2"/>
        <charset val="134"/>
      </rPr>
      <t xml:space="preserve">5</t>
    </r>
    <r>
      <rPr>
        <b val="true"/>
        <sz val="9"/>
        <color rgb="FFFFFFFF"/>
        <rFont val="Source Han Sans VF"/>
        <family val="2"/>
      </rPr>
      <t xml:space="preserve">月完成率</t>
    </r>
  </si>
  <si>
    <r>
      <rPr>
        <b val="true"/>
        <sz val="9"/>
        <color rgb="FFFFFFFF"/>
        <rFont val="微软雅黑"/>
        <family val="2"/>
        <charset val="134"/>
      </rPr>
      <t xml:space="preserve">6</t>
    </r>
    <r>
      <rPr>
        <b val="true"/>
        <sz val="9"/>
        <color rgb="FFFFFFFF"/>
        <rFont val="Source Han Sans VF"/>
        <family val="2"/>
      </rPr>
      <t xml:space="preserve">月目标</t>
    </r>
  </si>
  <si>
    <r>
      <rPr>
        <b val="true"/>
        <sz val="9"/>
        <color rgb="FFFFFFFF"/>
        <rFont val="微软雅黑"/>
        <family val="2"/>
        <charset val="134"/>
      </rPr>
      <t xml:space="preserve">6</t>
    </r>
    <r>
      <rPr>
        <b val="true"/>
        <sz val="9"/>
        <color rgb="FFFFFFFF"/>
        <rFont val="Source Han Sans VF"/>
        <family val="2"/>
      </rPr>
      <t xml:space="preserve">月完成</t>
    </r>
  </si>
  <si>
    <r>
      <rPr>
        <b val="true"/>
        <sz val="9"/>
        <color rgb="FFFFFFFF"/>
        <rFont val="微软雅黑"/>
        <family val="2"/>
        <charset val="134"/>
      </rPr>
      <t xml:space="preserve">6</t>
    </r>
    <r>
      <rPr>
        <b val="true"/>
        <sz val="9"/>
        <color rgb="FFFFFFFF"/>
        <rFont val="Source Han Sans VF"/>
        <family val="2"/>
      </rPr>
      <t xml:space="preserve">月完成率</t>
    </r>
  </si>
  <si>
    <t xml:space="preserve">毛利</t>
  </si>
  <si>
    <t xml:space="preserve">时间</t>
  </si>
  <si>
    <t xml:space="preserve">实收</t>
  </si>
  <si>
    <t xml:space="preserve">净收入 (毛利口径)</t>
  </si>
  <si>
    <t xml:space="preserve">毛利值</t>
  </si>
  <si>
    <t xml:space="preserve">商务考核毛利率</t>
  </si>
  <si>
    <t xml:space="preserve">毛利率目标</t>
  </si>
  <si>
    <t xml:space="preserve">落差</t>
  </si>
  <si>
    <t xml:space="preserve">完成率</t>
  </si>
  <si>
    <t xml:space="preserve">毛利盈余/缺口</t>
  </si>
  <si>
    <r>
      <rPr>
        <sz val="9"/>
        <color rgb="FF000000"/>
        <rFont val="微软雅黑"/>
        <family val="2"/>
        <charset val="134"/>
      </rPr>
      <t xml:space="preserve">1</t>
    </r>
    <r>
      <rPr>
        <sz val="9"/>
        <color rgb="FF000000"/>
        <rFont val="Source Han Sans VF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</si>
  <si>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2</t>
    </r>
    <r>
      <rPr>
        <sz val="9"/>
        <color rgb="FF000000"/>
        <rFont val="Source Han Sans VF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</si>
  <si>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3</t>
    </r>
    <r>
      <rPr>
        <sz val="9"/>
        <color rgb="FF000000"/>
        <rFont val="Source Han Sans VF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</si>
  <si>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4</t>
    </r>
    <r>
      <rPr>
        <sz val="9"/>
        <color rgb="FF000000"/>
        <rFont val="Source Han Sans VF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</si>
  <si>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4</t>
    </r>
    <r>
      <rPr>
        <sz val="9"/>
        <color rgb="FF000000"/>
        <rFont val="Source Han Sans VF"/>
        <family val="2"/>
      </rPr>
      <t xml:space="preserve">月</t>
    </r>
    <r>
      <rPr>
        <sz val="9"/>
        <color rgb="FF000000"/>
        <rFont val="微软雅黑"/>
        <family val="2"/>
        <charset val="134"/>
      </rPr>
      <t xml:space="preserve">YTD</t>
    </r>
  </si>
  <si>
    <r>
      <rPr>
        <sz val="9"/>
        <color rgb="FF000000"/>
        <rFont val="微软雅黑"/>
        <family val="2"/>
        <charset val="134"/>
      </rPr>
      <t xml:space="preserve">5</t>
    </r>
    <r>
      <rPr>
        <sz val="9"/>
        <color rgb="FF000000"/>
        <rFont val="Source Han Sans VF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</si>
  <si>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5</t>
    </r>
    <r>
      <rPr>
        <sz val="9"/>
        <color rgb="FF000000"/>
        <rFont val="Source Han Sans VF"/>
        <family val="2"/>
      </rPr>
      <t xml:space="preserve">月</t>
    </r>
    <r>
      <rPr>
        <sz val="9"/>
        <color rgb="FF000000"/>
        <rFont val="微软雅黑"/>
        <family val="2"/>
        <charset val="134"/>
      </rPr>
      <t xml:space="preserve">YTD</t>
    </r>
  </si>
  <si>
    <r>
      <rPr>
        <sz val="9"/>
        <color rgb="FF000000"/>
        <rFont val="微软雅黑"/>
        <family val="2"/>
        <charset val="134"/>
      </rPr>
      <t xml:space="preserve">6</t>
    </r>
    <r>
      <rPr>
        <sz val="9"/>
        <color rgb="FF000000"/>
        <rFont val="Source Han Sans VF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</si>
  <si>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6</t>
    </r>
    <r>
      <rPr>
        <sz val="9"/>
        <color rgb="FF000000"/>
        <rFont val="Source Han Sans VF"/>
        <family val="2"/>
      </rPr>
      <t xml:space="preserve">月</t>
    </r>
    <r>
      <rPr>
        <sz val="9"/>
        <color rgb="FF000000"/>
        <rFont val="微软雅黑"/>
        <family val="2"/>
        <charset val="134"/>
      </rPr>
      <t xml:space="preserve">YTD</t>
    </r>
  </si>
  <si>
    <r>
      <rPr>
        <sz val="9"/>
        <color rgb="FF000000"/>
        <rFont val="微软雅黑"/>
        <family val="2"/>
        <charset val="134"/>
      </rPr>
      <t xml:space="preserve">7</t>
    </r>
    <r>
      <rPr>
        <sz val="9"/>
        <color rgb="FF000000"/>
        <rFont val="Source Han Sans VF"/>
        <family val="2"/>
      </rPr>
      <t xml:space="preserve">月</t>
    </r>
    <r>
      <rPr>
        <sz val="9"/>
        <color rgb="FF000000"/>
        <rFont val="微软雅黑"/>
        <family val="2"/>
        <charset val="134"/>
      </rPr>
      <t xml:space="preserve">MTD</t>
    </r>
  </si>
  <si>
    <t xml:space="preserve">截止16号0点</t>
  </si>
  <si>
    <t xml:space="preserve">全年目标</t>
  </si>
  <si>
    <t xml:space="preserve">外网价指</t>
  </si>
  <si>
    <t xml:space="preserve">考核结果</t>
  </si>
  <si>
    <t xml:space="preserve">天猫</t>
  </si>
  <si>
    <t xml:space="preserve">抖音</t>
  </si>
  <si>
    <t xml:space="preserve">综合得分</t>
  </si>
  <si>
    <t xml:space="preserve">天猫得分</t>
  </si>
  <si>
    <t xml:space="preserve">抖音得分</t>
  </si>
  <si>
    <t xml:space="preserve">天猫权重</t>
  </si>
  <si>
    <t xml:space="preserve">抖音权重</t>
  </si>
  <si>
    <t xml:space="preserve">价格指数</t>
  </si>
  <si>
    <t xml:space="preserve">对标值</t>
  </si>
  <si>
    <t xml:space="preserve">完成差值
（pp）</t>
  </si>
  <si>
    <t xml:space="preserve">差值目标
（pp）</t>
  </si>
  <si>
    <t xml:space="preserve">(NULL)</t>
  </si>
  <si>
    <t xml:space="preserve">历史月份得分</t>
  </si>
  <si>
    <t xml:space="preserve">天猫价指</t>
  </si>
  <si>
    <t xml:space="preserve">天猫目标</t>
  </si>
  <si>
    <t xml:space="preserve">天猫降幅</t>
  </si>
  <si>
    <t xml:space="preserve">抖音价指</t>
  </si>
  <si>
    <t xml:space="preserve">抖音目标</t>
  </si>
  <si>
    <t xml:space="preserve">抖音降幅</t>
  </si>
  <si>
    <t xml:space="preserve">天猫外网加总</t>
  </si>
  <si>
    <t xml:space="preserve">抖音外网加总</t>
  </si>
  <si>
    <t xml:space="preserve">内网折扣</t>
  </si>
  <si>
    <t xml:space="preserve">系数差</t>
  </si>
  <si>
    <t xml:space="preserve">去年内网价指</t>
  </si>
  <si>
    <t xml:space="preserve">今年内网价指</t>
  </si>
  <si>
    <t xml:space="preserve">六高</t>
  </si>
  <si>
    <r>
      <rPr>
        <sz val="9"/>
        <color rgb="FF000000"/>
        <rFont val="微软雅黑"/>
        <family val="2"/>
        <charset val="134"/>
      </rPr>
      <t xml:space="preserve">vs</t>
    </r>
    <r>
      <rPr>
        <sz val="9"/>
        <color rgb="FF000000"/>
        <rFont val="Source Han Sans VF"/>
        <family val="2"/>
      </rPr>
      <t xml:space="preserve">天猫目标</t>
    </r>
  </si>
  <si>
    <r>
      <rPr>
        <b val="true"/>
        <sz val="9"/>
        <color rgb="FFFFFFFF"/>
        <rFont val="微软雅黑"/>
        <family val="2"/>
        <charset val="134"/>
      </rPr>
      <t xml:space="preserve">vs</t>
    </r>
    <r>
      <rPr>
        <b val="true"/>
        <sz val="9"/>
        <color rgb="FFFFFFFF"/>
        <rFont val="Source Han Sans VF"/>
        <family val="2"/>
      </rPr>
      <t xml:space="preserve">抖音目标</t>
    </r>
  </si>
  <si>
    <r>
      <rPr>
        <sz val="9"/>
        <color rgb="FF000000"/>
        <rFont val="微软雅黑"/>
        <family val="2"/>
        <charset val="134"/>
      </rPr>
      <t xml:space="preserve">vs</t>
    </r>
    <r>
      <rPr>
        <sz val="9"/>
        <color rgb="FF000000"/>
        <rFont val="Source Han Sans VF"/>
        <family val="2"/>
      </rPr>
      <t xml:space="preserve">目标</t>
    </r>
  </si>
  <si>
    <r>
      <rPr>
        <b val="true"/>
        <sz val="9"/>
        <color rgb="FFFFFFFF"/>
        <rFont val="微软雅黑"/>
        <family val="2"/>
        <charset val="134"/>
      </rPr>
      <t xml:space="preserve">vs</t>
    </r>
    <r>
      <rPr>
        <b val="true"/>
        <sz val="9"/>
        <color rgb="FFFFFFFF"/>
        <rFont val="Source Han Sans VF"/>
        <family val="2"/>
      </rPr>
      <t xml:space="preserve">目标</t>
    </r>
    <r>
      <rPr>
        <b val="true"/>
        <sz val="9"/>
        <color rgb="FFFFFFFF"/>
        <rFont val="微软雅黑"/>
        <family val="2"/>
        <charset val="134"/>
      </rPr>
      <t xml:space="preserve">6.1%</t>
    </r>
  </si>
  <si>
    <t xml:space="preserve">精品总</t>
  </si>
  <si>
    <t xml:space="preserve">优质款</t>
  </si>
  <si>
    <t xml:space="preserve">总计</t>
  </si>
  <si>
    <t xml:space="preserve">引入率（目标50%）</t>
  </si>
  <si>
    <t xml:space="preserve">历史月份</t>
  </si>
  <si>
    <t xml:space="preserve">已引进</t>
  </si>
  <si>
    <t xml:space="preserve">未引进</t>
  </si>
  <si>
    <t xml:space="preserve">暂不引进</t>
  </si>
  <si>
    <t xml:space="preserve">机采</t>
  </si>
  <si>
    <t xml:space="preserve">https://vman.vip.vip.com/vman/analysis/share/open_share_link?key=33ae248a05ff318f3e23067e54834ea3</t>
  </si>
  <si>
    <t xml:space="preserve">阶段目标</t>
  </si>
  <si>
    <t xml:space="preserve">阶段完成</t>
  </si>
  <si>
    <t xml:space="preserve">高价值</t>
  </si>
  <si>
    <t xml:space="preserve">https://vman.vip.vip.com/vman/analysis/share/open_share_link?key=2edc9c33f8800ad38c4a97df9046a58a</t>
  </si>
  <si>
    <r>
      <rPr>
        <b val="true"/>
        <sz val="9"/>
        <color rgb="FFFFFFFF"/>
        <rFont val="微软雅黑"/>
        <family val="2"/>
        <charset val="134"/>
      </rPr>
      <t xml:space="preserve">7</t>
    </r>
    <r>
      <rPr>
        <b val="true"/>
        <sz val="9"/>
        <color rgb="FFFFFFFF"/>
        <rFont val="Source Han Sans VF"/>
        <family val="2"/>
      </rPr>
      <t xml:space="preserve">月</t>
    </r>
  </si>
  <si>
    <r>
      <rPr>
        <b val="true"/>
        <sz val="9"/>
        <color rgb="FFFFFFFF"/>
        <rFont val="微软雅黑"/>
        <family val="2"/>
        <charset val="134"/>
      </rPr>
      <t xml:space="preserve">7</t>
    </r>
    <r>
      <rPr>
        <b val="true"/>
        <sz val="9"/>
        <color rgb="FFFFFFFF"/>
        <rFont val="Source Han Sans VF"/>
        <family val="2"/>
      </rPr>
      <t xml:space="preserve">月目标</t>
    </r>
  </si>
  <si>
    <r>
      <rPr>
        <b val="true"/>
        <sz val="9"/>
        <color rgb="FFFFFFFF"/>
        <rFont val="微软雅黑"/>
        <family val="2"/>
        <charset val="134"/>
      </rPr>
      <t xml:space="preserve">7</t>
    </r>
    <r>
      <rPr>
        <b val="true"/>
        <sz val="9"/>
        <color rgb="FFFFFFFF"/>
        <rFont val="Source Han Sans VF"/>
        <family val="2"/>
      </rPr>
      <t xml:space="preserve">月完成</t>
    </r>
  </si>
  <si>
    <r>
      <rPr>
        <b val="true"/>
        <sz val="9"/>
        <color rgb="FFFFFFFF"/>
        <rFont val="微软雅黑"/>
        <family val="2"/>
        <charset val="134"/>
      </rPr>
      <t xml:space="preserve">7</t>
    </r>
    <r>
      <rPr>
        <b val="true"/>
        <sz val="9"/>
        <color rgb="FFFFFFFF"/>
        <rFont val="Source Han Sans VF"/>
        <family val="2"/>
      </rPr>
      <t xml:space="preserve">月完成率</t>
    </r>
  </si>
  <si>
    <t xml:space="preserve">五星价格力&amp;大爆款效率</t>
  </si>
  <si>
    <t xml:space="preserve">商品占比</t>
  </si>
  <si>
    <r>
      <rPr>
        <b val="true"/>
        <sz val="9"/>
        <color rgb="FFFFFFFF"/>
        <rFont val="微软雅黑"/>
        <family val="2"/>
        <charset val="134"/>
      </rPr>
      <t xml:space="preserve">APP</t>
    </r>
    <r>
      <rPr>
        <b val="true"/>
        <sz val="9"/>
        <color rgb="FFFFFFFF"/>
        <rFont val="Source Han Sans VF"/>
        <family val="2"/>
      </rPr>
      <t xml:space="preserve">销售占比</t>
    </r>
    <r>
      <rPr>
        <b val="true"/>
        <sz val="9"/>
        <color rgb="FFFFFFFF"/>
        <rFont val="微软雅黑"/>
        <family val="2"/>
        <charset val="134"/>
      </rPr>
      <t xml:space="preserve">/ APP</t>
    </r>
    <r>
      <rPr>
        <b val="true"/>
        <sz val="9"/>
        <color rgb="FFFFFFFF"/>
        <rFont val="Source Han Sans VF"/>
        <family val="2"/>
      </rPr>
      <t xml:space="preserve">曝光占比</t>
    </r>
  </si>
  <si>
    <t xml:space="preserve">曝光</t>
  </si>
  <si>
    <r>
      <rPr>
        <b val="true"/>
        <sz val="9"/>
        <color rgb="FF000000"/>
        <rFont val="微软雅黑"/>
        <family val="2"/>
        <charset val="134"/>
      </rPr>
      <t xml:space="preserve">APP</t>
    </r>
    <r>
      <rPr>
        <b val="true"/>
        <sz val="9"/>
        <color rgb="FF000000"/>
        <rFont val="Source Han Sans VF"/>
        <family val="2"/>
      </rPr>
      <t xml:space="preserve">销售</t>
    </r>
  </si>
  <si>
    <t xml:space="preserve">实际</t>
  </si>
  <si>
    <t xml:space="preserve">目标</t>
  </si>
  <si>
    <r>
      <rPr>
        <b val="true"/>
        <sz val="9"/>
        <color rgb="FFFFFFFF"/>
        <rFont val="微软雅黑"/>
        <family val="2"/>
        <charset val="134"/>
      </rPr>
      <t xml:space="preserve">VS</t>
    </r>
    <r>
      <rPr>
        <b val="true"/>
        <sz val="9"/>
        <color rgb="FFFFFFFF"/>
        <rFont val="Source Han Sans VF"/>
        <family val="2"/>
      </rPr>
      <t xml:space="preserve">目标差距</t>
    </r>
  </si>
  <si>
    <r>
      <rPr>
        <sz val="9"/>
        <color rgb="FF000000"/>
        <rFont val="微软雅黑"/>
        <family val="2"/>
        <charset val="134"/>
      </rPr>
      <t xml:space="preserve">APP</t>
    </r>
    <r>
      <rPr>
        <sz val="9"/>
        <color rgb="FF000000"/>
        <rFont val="Source Han Sans VF"/>
        <family val="2"/>
      </rPr>
      <t xml:space="preserve">销售</t>
    </r>
  </si>
  <si>
    <t xml:space="preserve">四五星</t>
  </si>
  <si>
    <t xml:space="preserve">调整S3的热销度阈值，从而影响星级。也可以针对指定商品进行热销度打压；支持指定商品热销度扶到优良</t>
  </si>
  <si>
    <t xml:space="preserve">大爆款</t>
  </si>
  <si>
    <t xml:space="preserve">维度</t>
  </si>
  <si>
    <t xml:space="preserve">四五星商品</t>
  </si>
  <si>
    <t xml:space="preserve"> 四五星APP销售占比/ 四五星APP曝光占比</t>
  </si>
  <si>
    <t xml:space="preserve">曝光占比</t>
  </si>
  <si>
    <r>
      <rPr>
        <b val="true"/>
        <sz val="9"/>
        <color rgb="FF000000"/>
        <rFont val="微软雅黑"/>
        <family val="2"/>
        <charset val="134"/>
      </rPr>
      <t xml:space="preserve">APP</t>
    </r>
    <r>
      <rPr>
        <b val="true"/>
        <sz val="9"/>
        <color rgb="FF000000"/>
        <rFont val="Source Han Sans VF"/>
        <family val="2"/>
      </rPr>
      <t xml:space="preserve">销售占比</t>
    </r>
  </si>
  <si>
    <r>
      <rPr>
        <b val="true"/>
        <sz val="9"/>
        <color rgb="FF000000"/>
        <rFont val="微软雅黑"/>
        <family val="2"/>
        <charset val="134"/>
      </rPr>
      <t xml:space="preserve">VS</t>
    </r>
    <r>
      <rPr>
        <b val="true"/>
        <sz val="9"/>
        <color rgb="FF000000"/>
        <rFont val="Source Han Sans VF"/>
        <family val="2"/>
      </rPr>
      <t xml:space="preserve">目标差距</t>
    </r>
  </si>
  <si>
    <t xml:space="preserve">截止6月</t>
  </si>
  <si>
    <t xml:space="preserve">年度目标为季度目标</t>
  </si>
  <si>
    <t xml:space="preserve">-</t>
  </si>
  <si>
    <t xml:space="preserve">截止9号0点</t>
  </si>
  <si>
    <t xml:space="preserve">日均6高商品数</t>
  </si>
  <si>
    <t xml:space="preserve">可比率</t>
  </si>
  <si>
    <t xml:space="preserve">天猫价格指数</t>
  </si>
  <si>
    <t xml:space="preserve">天猫价指目标</t>
  </si>
  <si>
    <t xml:space="preserve">抖音价格指数</t>
  </si>
  <si>
    <t xml:space="preserve">抖音价指目标</t>
  </si>
  <si>
    <t xml:space="preserve">调价率</t>
  </si>
  <si>
    <t xml:space="preserve">调价率目标</t>
  </si>
  <si>
    <t xml:space="preserve">整体断货率</t>
  </si>
  <si>
    <t xml:space="preserve">断货率目标</t>
  </si>
  <si>
    <t xml:space="preserve">价指得分</t>
  </si>
  <si>
    <t xml:space="preserve">本月调整后天猫降幅预估</t>
  </si>
  <si>
    <t xml:space="preserve">本月调整后抖音降幅预估</t>
  </si>
  <si>
    <t xml:space="preserve">整改方案</t>
  </si>
  <si>
    <t xml:space="preserve">不达标原因：可比价商品变动影响较大，价优商品无法捞出，不动价品牌周大生、周大福商品大量捞出（日均178，商品数占比小组65%）。
整改：1、重新匹配潮宏基等品牌的价优商品；2、继续沟通申请周大生、周大福为B1品牌。</t>
  </si>
  <si>
    <r>
      <rPr>
        <sz val="9"/>
        <rFont val="微软雅黑"/>
        <family val="2"/>
        <charset val="134"/>
      </rPr>
      <t xml:space="preserve">1</t>
    </r>
    <r>
      <rPr>
        <sz val="9"/>
        <rFont val="Source Han Sans VF"/>
        <family val="2"/>
      </rPr>
      <t xml:space="preserve">、从活动力度上，优先保证白金促、长续航提报，做好整体价格优势
</t>
    </r>
    <r>
      <rPr>
        <sz val="9"/>
        <rFont val="微软雅黑"/>
        <family val="2"/>
        <charset val="134"/>
      </rPr>
      <t xml:space="preserve">2</t>
    </r>
    <r>
      <rPr>
        <sz val="9"/>
        <rFont val="Source Han Sans VF"/>
        <family val="2"/>
      </rPr>
      <t xml:space="preserve">、对于部分严格控价品牌（暴龙、卡西欧、帕森等），推进</t>
    </r>
    <r>
      <rPr>
        <sz val="9"/>
        <rFont val="微软雅黑"/>
        <family val="2"/>
        <charset val="134"/>
      </rPr>
      <t xml:space="preserve">B1</t>
    </r>
    <r>
      <rPr>
        <sz val="9"/>
        <rFont val="Source Han Sans VF"/>
        <family val="2"/>
      </rPr>
      <t xml:space="preserve">品牌的入池工作，目前已入池的商品对整体调整已初见成效（飞亚达降低</t>
    </r>
    <r>
      <rPr>
        <sz val="9"/>
        <rFont val="微软雅黑"/>
        <family val="2"/>
        <charset val="134"/>
      </rPr>
      <t xml:space="preserve">20%</t>
    </r>
    <r>
      <rPr>
        <sz val="9"/>
        <rFont val="Source Han Sans VF"/>
        <family val="2"/>
      </rPr>
      <t xml:space="preserve">）
</t>
    </r>
    <r>
      <rPr>
        <sz val="9"/>
        <rFont val="微软雅黑"/>
        <family val="2"/>
        <charset val="134"/>
      </rPr>
      <t xml:space="preserve">3</t>
    </r>
    <r>
      <rPr>
        <sz val="9"/>
        <rFont val="Source Han Sans VF"/>
        <family val="2"/>
      </rPr>
      <t xml:space="preserve">、新价格体系影响部分腕表及控价品牌无法报入活动，正在积极与项目组沟通新体系的政策调整</t>
    </r>
  </si>
  <si>
    <t xml:space="preserve">落差分析：
1、饰品：国际品牌涨价，海澜之家全面控价，影响权重9%
2、服配：品牌大量上新，新品控价期价格优势较弱，且因五星价格力及大爆款栏目切换，季节品类未到起量期大量低星突破品牌控价，造成大量商品无法提报活动，价格指数上涨明显
3、特殊品牌：上海故事及万事利去年无对比基数，带来纯增4.4%，影响权重24%
整改方案：
1、已BD品牌将大部分商品报入活动扩大价格优势，0动销高价商品禁售处理，长尾品类及长售龄商品通过疯抢及狂秒进一步降价清仓，调整后环比-2.1pp
2、严控价品牌无法提报活动，需等待五星项目组确认季节品类新规</t>
  </si>
  <si>
    <t xml:space="preserve">原因：影响权重较大品牌为EA，品牌收紧低价折扣款供给，严控价格
调整动作：已调优6款，调前价格指数82.73%，调后79.86%；持续BD特价款引入</t>
  </si>
  <si>
    <r>
      <rPr>
        <sz val="9"/>
        <color rgb="FF000000"/>
        <rFont val="微软雅黑"/>
        <family val="2"/>
        <charset val="134"/>
      </rPr>
      <t xml:space="preserve">3.4</t>
    </r>
    <r>
      <rPr>
        <sz val="9"/>
        <color rgb="FF000000"/>
        <rFont val="Source Han Sans VF"/>
        <family val="2"/>
      </rPr>
      <t xml:space="preserve">最新数据看剔除</t>
    </r>
    <r>
      <rPr>
        <sz val="9"/>
        <color rgb="FF000000"/>
        <rFont val="微软雅黑"/>
        <family val="2"/>
        <charset val="134"/>
      </rPr>
      <t xml:space="preserve">B1</t>
    </r>
  </si>
  <si>
    <t xml:space="preserve">未剔除B1</t>
  </si>
  <si>
    <t xml:space="preserve">剔除B1</t>
  </si>
  <si>
    <t xml:space="preserve">降幅对比</t>
  </si>
</sst>
</file>

<file path=xl/styles.xml><?xml version="1.0" encoding="utf-8"?>
<styleSheet xmlns="http://schemas.openxmlformats.org/spreadsheetml/2006/main">
  <numFmts count="13">
    <numFmt numFmtId="164" formatCode="[&lt;=10000]0\.0,\万;#,##0"/>
    <numFmt numFmtId="165" formatCode="General"/>
    <numFmt numFmtId="166" formatCode="m/d/yyyy"/>
    <numFmt numFmtId="167" formatCode="[&gt;=100000000]0\.00,,\亿;[&gt;=10000]0\.0,\万;#,##0"/>
    <numFmt numFmtId="168" formatCode="General"/>
    <numFmt numFmtId="169" formatCode="0.00%"/>
    <numFmt numFmtId="170" formatCode="[&gt;=100000000]0.0\.00,,\亿;[&gt;=10000]0.0\.0,\万;#,##0.0"/>
    <numFmt numFmtId="171" formatCode="[&gt;=100000000]0.00\.00,,\亿;[&gt;=10000]0.00\.0,\万;#,##0.00"/>
    <numFmt numFmtId="172" formatCode="0.0"/>
    <numFmt numFmtId="173" formatCode="0.0%"/>
    <numFmt numFmtId="174" formatCode="0"/>
    <numFmt numFmtId="175" formatCode="#,##0"/>
    <numFmt numFmtId="176" formatCode="0.00"/>
  </numFmts>
  <fonts count="19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微软雅黑"/>
      <family val="2"/>
      <charset val="134"/>
    </font>
    <font>
      <b val="true"/>
      <sz val="9"/>
      <color rgb="FF000000"/>
      <name val="Source Han Sans VF"/>
      <family val="2"/>
      <charset val="1"/>
    </font>
    <font>
      <b val="true"/>
      <sz val="9"/>
      <color rgb="FF000000"/>
      <name val="微软雅黑"/>
      <family val="2"/>
      <charset val="134"/>
    </font>
    <font>
      <b val="true"/>
      <sz val="9"/>
      <color rgb="FF000000"/>
      <name val="Source Han Sans VF"/>
      <family val="2"/>
    </font>
    <font>
      <b val="true"/>
      <sz val="9"/>
      <color rgb="FFFFFFFF"/>
      <name val="Source Han Sans VF"/>
      <family val="2"/>
      <charset val="1"/>
    </font>
    <font>
      <sz val="9"/>
      <color rgb="FF000000"/>
      <name val="Source Han Sans VF"/>
      <family val="2"/>
      <charset val="1"/>
    </font>
    <font>
      <b val="true"/>
      <sz val="9"/>
      <color rgb="FFFFFFFF"/>
      <name val="微软雅黑"/>
      <family val="2"/>
      <charset val="134"/>
    </font>
    <font>
      <b val="true"/>
      <sz val="9"/>
      <color rgb="FFFFFFFF"/>
      <name val="Source Han Sans VF"/>
      <family val="2"/>
    </font>
    <font>
      <sz val="11"/>
      <color rgb="FF000000"/>
      <name val="Source Han Sans VF"/>
      <family val="2"/>
      <charset val="1"/>
    </font>
    <font>
      <sz val="9"/>
      <color rgb="FF000000"/>
      <name val="Source Han Sans VF"/>
      <family val="2"/>
    </font>
    <font>
      <sz val="9"/>
      <name val="微软雅黑"/>
      <family val="2"/>
      <charset val="134"/>
    </font>
    <font>
      <b val="true"/>
      <sz val="9"/>
      <name val="Source Han Sans VF"/>
      <family val="2"/>
      <charset val="1"/>
    </font>
    <font>
      <sz val="11"/>
      <color rgb="FF000000"/>
      <name val="Source Han Sans VF"/>
      <family val="2"/>
    </font>
    <font>
      <sz val="9"/>
      <name val="Source Han Sans VF"/>
      <family val="2"/>
      <charset val="1"/>
    </font>
    <font>
      <sz val="9"/>
      <name val="Source Han Sans VF"/>
      <family val="2"/>
    </font>
  </fonts>
  <fills count="11">
    <fill>
      <patternFill patternType="none"/>
    </fill>
    <fill>
      <patternFill patternType="gray125"/>
    </fill>
    <fill>
      <patternFill patternType="solid">
        <fgColor rgb="FFF12972"/>
        <bgColor rgb="FF993366"/>
      </patternFill>
    </fill>
    <fill>
      <patternFill patternType="solid">
        <fgColor rgb="FFFFC000"/>
        <bgColor rgb="FFFF9900"/>
      </patternFill>
    </fill>
    <fill>
      <patternFill patternType="solid">
        <fgColor rgb="FF2F5597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DEEBF7"/>
        <bgColor rgb="FFDDEBF7"/>
      </patternFill>
    </fill>
    <fill>
      <patternFill patternType="solid">
        <fgColor rgb="FFFFFFFF"/>
        <bgColor rgb="FFFFFFCC"/>
      </patternFill>
    </fill>
    <fill>
      <patternFill patternType="solid">
        <fgColor rgb="FFDDEBF7"/>
        <bgColor rgb="FFDEEBF7"/>
      </patternFill>
    </fill>
    <fill>
      <patternFill patternType="solid">
        <fgColor rgb="FFE2EFDA"/>
        <bgColor rgb="FFDEEBF7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4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4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4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numFmt numFmtId="164" formatCode="[&lt;=10000]0\.0,\万;#,##0"/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F12972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CA1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C63" activeCellId="0" sqref="C63"/>
    </sheetView>
  </sheetViews>
  <sheetFormatPr defaultColWidth="8.6640625" defaultRowHeight="13" zeroHeight="false" outlineLevelRow="0" outlineLevelCol="0"/>
  <cols>
    <col collapsed="false" customWidth="false" hidden="false" outlineLevel="0" max="1" min="1" style="1" width="8.66"/>
    <col collapsed="false" customWidth="true" hidden="false" outlineLevel="0" max="2" min="2" style="1" width="8.41"/>
    <col collapsed="false" customWidth="false" hidden="false" outlineLevel="0" max="4" min="3" style="1" width="8.66"/>
    <col collapsed="false" customWidth="true" hidden="false" outlineLevel="0" max="5" min="5" style="1" width="9.66"/>
    <col collapsed="false" customWidth="true" hidden="false" outlineLevel="0" max="6" min="6" style="1" width="9.25"/>
    <col collapsed="false" customWidth="true" hidden="false" outlineLevel="0" max="7" min="7" style="1" width="11.09"/>
    <col collapsed="false" customWidth="true" hidden="false" outlineLevel="0" max="8" min="8" style="1" width="9.83"/>
    <col collapsed="false" customWidth="true" hidden="false" outlineLevel="0" max="9" min="9" style="1" width="11.17"/>
    <col collapsed="false" customWidth="true" hidden="false" outlineLevel="0" max="10" min="10" style="1" width="10.57"/>
    <col collapsed="false" customWidth="true" hidden="false" outlineLevel="0" max="11" min="11" style="1" width="9.41"/>
    <col collapsed="false" customWidth="false" hidden="false" outlineLevel="0" max="13" min="12" style="1" width="8.66"/>
    <col collapsed="false" customWidth="true" hidden="false" outlineLevel="0" max="14" min="14" style="1" width="8.91"/>
    <col collapsed="false" customWidth="true" hidden="false" outlineLevel="0" max="17" min="15" style="1" width="10.25"/>
    <col collapsed="false" customWidth="false" hidden="false" outlineLevel="0" max="1024" min="18" style="1" width="8.66"/>
  </cols>
  <sheetData>
    <row r="1" customFormat="false" ht="14" hidden="false" customHeight="true" outlineLevel="0" collapsed="false">
      <c r="B1" s="2" t="s">
        <v>0</v>
      </c>
      <c r="C1" s="3" t="n">
        <v>46233</v>
      </c>
      <c r="D1" s="3" t="s">
        <v>1</v>
      </c>
      <c r="F1" s="4"/>
    </row>
    <row r="2" customFormat="false" ht="14" hidden="false" customHeight="true" outlineLevel="0" collapsed="false">
      <c r="B2" s="2"/>
      <c r="C2" s="3"/>
      <c r="F2" s="4"/>
    </row>
    <row r="3" customFormat="false" ht="14" hidden="false" customHeight="true" outlineLevel="0" collapsed="false">
      <c r="B3" s="2" t="s">
        <v>2</v>
      </c>
      <c r="C3" s="3"/>
    </row>
    <row r="4" customFormat="false" ht="14" hidden="false" customHeight="true" outlineLevel="0" collapsed="false">
      <c r="B4" s="5" t="s">
        <v>3</v>
      </c>
      <c r="C4" s="3"/>
    </row>
    <row r="5" customFormat="false" ht="14" hidden="false" customHeight="true" outlineLevel="0" collapsed="false"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11</v>
      </c>
    </row>
    <row r="6" customFormat="false" ht="14" hidden="false" customHeight="true" outlineLevel="0" collapsed="false">
      <c r="B6" s="7" t="s">
        <v>13</v>
      </c>
      <c r="C6" s="8" t="n">
        <v>71810000</v>
      </c>
      <c r="D6" s="8" t="n">
        <v>64329956.28645</v>
      </c>
      <c r="E6" s="9" t="n">
        <f aca="false">D6/C6</f>
        <v>0.895835625768695</v>
      </c>
      <c r="F6" s="8" t="n">
        <v>61968175.58719</v>
      </c>
      <c r="G6" s="9" t="n">
        <f aca="false">D6/F6-1</f>
        <v>0.0381128002701474</v>
      </c>
      <c r="H6" s="8" t="n">
        <v>67194584.5518613</v>
      </c>
      <c r="I6" s="9" t="n">
        <f aca="false">D6/H6</f>
        <v>0.957368167620705</v>
      </c>
      <c r="J6" s="8" t="n">
        <v>67210000</v>
      </c>
      <c r="K6" s="9" t="n">
        <f aca="false">D6/J6</f>
        <v>0.957148583342508</v>
      </c>
      <c r="L6" s="10"/>
    </row>
    <row r="7" customFormat="false" ht="14" hidden="false" customHeight="true" outlineLevel="0" collapsed="false">
      <c r="B7" s="7" t="s">
        <v>14</v>
      </c>
      <c r="C7" s="8" t="n">
        <v>132000000</v>
      </c>
      <c r="D7" s="8" t="n">
        <v>89193965.89833</v>
      </c>
      <c r="E7" s="9" t="n">
        <f aca="false">D7/C7</f>
        <v>0.675711862866136</v>
      </c>
      <c r="F7" s="8" t="n">
        <v>99115849.298</v>
      </c>
      <c r="G7" s="9" t="n">
        <f aca="false">D7/F7-1</f>
        <v>-0.100103903360996</v>
      </c>
      <c r="H7" s="8" t="n">
        <v>123516016.722541</v>
      </c>
      <c r="I7" s="9" t="n">
        <f aca="false">D7/H7</f>
        <v>0.722124694959116</v>
      </c>
      <c r="J7" s="8" t="n">
        <v>124322207.1</v>
      </c>
      <c r="K7" s="9" t="n">
        <f aca="false">D7/J7</f>
        <v>0.717441943631083</v>
      </c>
      <c r="L7" s="10"/>
    </row>
    <row r="8" customFormat="false" ht="13" hidden="false" customHeight="true" outlineLevel="0" collapsed="false">
      <c r="B8" s="7" t="s">
        <v>15</v>
      </c>
      <c r="C8" s="8" t="n">
        <v>9437018</v>
      </c>
      <c r="D8" s="8" t="n">
        <v>10315643.0447</v>
      </c>
      <c r="E8" s="9" t="n">
        <f aca="false">D8/C8</f>
        <v>1.09310409757616</v>
      </c>
      <c r="F8" s="8" t="n">
        <v>7213389.27653</v>
      </c>
      <c r="G8" s="9" t="n">
        <f aca="false">D8/F8-1</f>
        <v>0.43006881359692</v>
      </c>
      <c r="H8" s="8" t="n">
        <v>8830476.31135548</v>
      </c>
      <c r="I8" s="9" t="n">
        <f aca="false">D8/H8</f>
        <v>1.16818648065843</v>
      </c>
      <c r="J8" s="8" t="n">
        <v>8917018.15389968</v>
      </c>
      <c r="K8" s="9" t="n">
        <f aca="false">D8/J8</f>
        <v>1.15684894509143</v>
      </c>
      <c r="L8" s="10"/>
    </row>
    <row r="9" customFormat="false" ht="14" hidden="false" customHeight="true" outlineLevel="0" collapsed="false">
      <c r="B9" s="7" t="s">
        <v>16</v>
      </c>
      <c r="C9" s="8" t="n">
        <v>88000000</v>
      </c>
      <c r="D9" s="8" t="n">
        <v>79523879.83934</v>
      </c>
      <c r="E9" s="9" t="n">
        <f aca="false">D9/C9</f>
        <v>0.903680452719773</v>
      </c>
      <c r="F9" s="8" t="n">
        <v>69150009.99131</v>
      </c>
      <c r="G9" s="9" t="n">
        <f aca="false">D9/F9-1</f>
        <v>0.150019788129223</v>
      </c>
      <c r="H9" s="8" t="n">
        <v>82344011.1483609</v>
      </c>
      <c r="I9" s="9" t="n">
        <f aca="false">D9/H9</f>
        <v>0.965751834654498</v>
      </c>
      <c r="J9" s="8" t="n">
        <v>83471419</v>
      </c>
      <c r="K9" s="9" t="n">
        <f aca="false">D9/J9</f>
        <v>0.952707894415213</v>
      </c>
      <c r="L9" s="10"/>
    </row>
    <row r="10" customFormat="false" ht="14" hidden="false" customHeight="true" outlineLevel="0" collapsed="false">
      <c r="B10" s="7" t="s">
        <v>17</v>
      </c>
      <c r="C10" s="8" t="n">
        <v>66000000</v>
      </c>
      <c r="D10" s="8" t="n">
        <v>58606967.22968</v>
      </c>
      <c r="E10" s="9" t="n">
        <f aca="false">D10/C10</f>
        <v>0.887984351964848</v>
      </c>
      <c r="F10" s="8" t="n">
        <v>52955723.01012</v>
      </c>
      <c r="G10" s="9" t="n">
        <f aca="false">D10/F10-1</f>
        <v>0.106716401898243</v>
      </c>
      <c r="H10" s="8" t="n">
        <v>61758008.3612706</v>
      </c>
      <c r="I10" s="9" t="n">
        <f aca="false">D10/H10</f>
        <v>0.948977610917151</v>
      </c>
      <c r="J10" s="8" t="n">
        <v>62400000</v>
      </c>
      <c r="K10" s="9" t="n">
        <f aca="false">D10/J10</f>
        <v>0.939214218424359</v>
      </c>
      <c r="L10" s="10"/>
    </row>
    <row r="11" customFormat="false" ht="14" hidden="false" customHeight="true" outlineLevel="0" collapsed="false">
      <c r="B11" s="7" t="s">
        <v>18</v>
      </c>
      <c r="C11" s="8" t="n">
        <v>62390797</v>
      </c>
      <c r="D11" s="8" t="n">
        <v>44018945.277</v>
      </c>
      <c r="E11" s="9" t="n">
        <f aca="false">D11/C11</f>
        <v>0.705535870570783</v>
      </c>
      <c r="F11" s="8" t="n">
        <v>51129994.30941</v>
      </c>
      <c r="G11" s="9" t="n">
        <f aca="false">D11/F11-1</f>
        <v>-0.139077837352727</v>
      </c>
      <c r="H11" s="8" t="n">
        <v>58380778.2241264</v>
      </c>
      <c r="I11" s="9" t="n">
        <f aca="false">D11/H11</f>
        <v>0.753997233610167</v>
      </c>
      <c r="J11" s="8" t="n">
        <v>58664858.36</v>
      </c>
      <c r="K11" s="9" t="n">
        <f aca="false">D11/J11</f>
        <v>0.750346059081493</v>
      </c>
      <c r="L11" s="10"/>
    </row>
    <row r="12" customFormat="false" ht="14" hidden="false" customHeight="true" outlineLevel="0" collapsed="false">
      <c r="B12" s="7" t="s">
        <v>19</v>
      </c>
      <c r="C12" s="8" t="n">
        <f aca="false">SUM(C6:C11)</f>
        <v>429637815</v>
      </c>
      <c r="D12" s="8" t="n">
        <f aca="false">SUM(D6:D11)</f>
        <v>345989357.5755</v>
      </c>
      <c r="E12" s="9" t="n">
        <f aca="false">D12/C12</f>
        <v>0.805304713635367</v>
      </c>
      <c r="F12" s="8" t="n">
        <f aca="false">SUM(F6:F11)</f>
        <v>341533141.47256</v>
      </c>
      <c r="G12" s="9" t="n">
        <f aca="false">D12/F12-1</f>
        <v>0.0130476828214283</v>
      </c>
      <c r="H12" s="8" t="n">
        <f aca="false">SUM(H6:H11)</f>
        <v>402023875.319516</v>
      </c>
      <c r="I12" s="9" t="n">
        <f aca="false">D12/H12</f>
        <v>0.860618930406854</v>
      </c>
      <c r="J12" s="8" t="n">
        <f aca="false">SUM(J6:J11)</f>
        <v>404985502.6139</v>
      </c>
      <c r="K12" s="9" t="n">
        <f aca="false">D12/J12</f>
        <v>0.854325291503966</v>
      </c>
      <c r="L12" s="10"/>
    </row>
    <row r="13" customFormat="false" ht="14" hidden="false" customHeight="true" outlineLevel="0" collapsed="false">
      <c r="B13" s="2"/>
      <c r="C13" s="3"/>
    </row>
    <row r="14" customFormat="false" ht="14" hidden="false" customHeight="true" outlineLevel="0" collapsed="false">
      <c r="B14" s="2" t="s">
        <v>20</v>
      </c>
      <c r="C14" s="3"/>
      <c r="G14" s="11"/>
      <c r="H14" s="12"/>
    </row>
    <row r="15" customFormat="false" ht="14" hidden="false" customHeight="true" outlineLevel="0" collapsed="false">
      <c r="B15" s="6" t="s">
        <v>4</v>
      </c>
      <c r="C15" s="13" t="s">
        <v>21</v>
      </c>
      <c r="D15" s="13"/>
      <c r="E15" s="13"/>
      <c r="F15" s="13"/>
      <c r="G15" s="13"/>
      <c r="H15" s="14" t="s">
        <v>22</v>
      </c>
      <c r="I15" s="14"/>
      <c r="J15" s="14"/>
      <c r="K15" s="14"/>
      <c r="L15" s="14"/>
      <c r="M15" s="13" t="s">
        <v>23</v>
      </c>
      <c r="N15" s="13"/>
      <c r="O15" s="13"/>
      <c r="P15" s="13"/>
      <c r="Q15" s="13"/>
      <c r="R15" s="14" t="s">
        <v>24</v>
      </c>
      <c r="S15" s="14"/>
      <c r="T15" s="14"/>
      <c r="U15" s="14"/>
      <c r="V15" s="14"/>
      <c r="W15" s="13" t="s">
        <v>25</v>
      </c>
      <c r="X15" s="13"/>
      <c r="Y15" s="13"/>
      <c r="Z15" s="13"/>
      <c r="AA15" s="13"/>
      <c r="AB15" s="14" t="s">
        <v>26</v>
      </c>
      <c r="AC15" s="14"/>
      <c r="AD15" s="14"/>
      <c r="AE15" s="14"/>
      <c r="AF15" s="14"/>
      <c r="AG15" s="13" t="s">
        <v>27</v>
      </c>
      <c r="AH15" s="13"/>
      <c r="AI15" s="13"/>
      <c r="AJ15" s="13"/>
      <c r="AK15" s="13"/>
    </row>
    <row r="16" customFormat="false" ht="13.5" hidden="false" customHeight="true" outlineLevel="0" collapsed="false">
      <c r="B16" s="6"/>
      <c r="C16" s="13" t="s">
        <v>28</v>
      </c>
      <c r="D16" s="13" t="s">
        <v>29</v>
      </c>
      <c r="E16" s="13" t="s">
        <v>30</v>
      </c>
      <c r="F16" s="13" t="s">
        <v>31</v>
      </c>
      <c r="G16" s="13" t="s">
        <v>32</v>
      </c>
      <c r="H16" s="14" t="s">
        <v>33</v>
      </c>
      <c r="I16" s="14" t="s">
        <v>34</v>
      </c>
      <c r="J16" s="14" t="s">
        <v>35</v>
      </c>
      <c r="K16" s="15" t="s">
        <v>8</v>
      </c>
      <c r="L16" s="15" t="s">
        <v>9</v>
      </c>
      <c r="M16" s="13" t="s">
        <v>36</v>
      </c>
      <c r="N16" s="13" t="s">
        <v>37</v>
      </c>
      <c r="O16" s="13" t="s">
        <v>38</v>
      </c>
      <c r="P16" s="6" t="s">
        <v>8</v>
      </c>
      <c r="Q16" s="6" t="s">
        <v>9</v>
      </c>
      <c r="R16" s="14" t="s">
        <v>39</v>
      </c>
      <c r="S16" s="14" t="s">
        <v>40</v>
      </c>
      <c r="T16" s="14" t="s">
        <v>41</v>
      </c>
      <c r="U16" s="15" t="s">
        <v>8</v>
      </c>
      <c r="V16" s="15" t="s">
        <v>9</v>
      </c>
      <c r="W16" s="13" t="s">
        <v>42</v>
      </c>
      <c r="X16" s="13" t="s">
        <v>43</v>
      </c>
      <c r="Y16" s="13" t="s">
        <v>44</v>
      </c>
      <c r="Z16" s="6" t="s">
        <v>8</v>
      </c>
      <c r="AA16" s="6" t="s">
        <v>9</v>
      </c>
      <c r="AB16" s="14" t="s">
        <v>45</v>
      </c>
      <c r="AC16" s="14" t="s">
        <v>46</v>
      </c>
      <c r="AD16" s="14" t="s">
        <v>47</v>
      </c>
      <c r="AE16" s="15" t="s">
        <v>8</v>
      </c>
      <c r="AF16" s="15" t="s">
        <v>9</v>
      </c>
      <c r="AG16" s="13" t="s">
        <v>48</v>
      </c>
      <c r="AH16" s="13" t="s">
        <v>49</v>
      </c>
      <c r="AI16" s="13" t="s">
        <v>50</v>
      </c>
      <c r="AJ16" s="6" t="s">
        <v>8</v>
      </c>
      <c r="AK16" s="6" t="s">
        <v>9</v>
      </c>
    </row>
    <row r="17" customFormat="false" ht="14" hidden="false" customHeight="true" outlineLevel="0" collapsed="false">
      <c r="B17" s="7" t="s">
        <v>13</v>
      </c>
      <c r="C17" s="8" t="n">
        <f aca="false">H17+H6+M17+R17+W17+AB17+AG17</f>
        <v>537476554.551861</v>
      </c>
      <c r="D17" s="8" t="n">
        <f aca="false">I17+D6+N17+S17+X17+AC17+AH17</f>
        <v>547356415.70351</v>
      </c>
      <c r="E17" s="9" t="n">
        <f aca="false">D17/C17</f>
        <v>1.01838193883617</v>
      </c>
      <c r="F17" s="8" t="n">
        <f aca="false">K17+F6+P17+U17+Z17+AE17+AJ17</f>
        <v>505253932.72882</v>
      </c>
      <c r="G17" s="9" t="n">
        <f aca="false">D17/F17-1</f>
        <v>0.0833293523264611</v>
      </c>
      <c r="H17" s="8" t="n">
        <v>66805489</v>
      </c>
      <c r="I17" s="8" t="n">
        <v>75157886.94629</v>
      </c>
      <c r="J17" s="9" t="n">
        <f aca="false">I17/H17</f>
        <v>1.12502562396168</v>
      </c>
      <c r="K17" s="8" t="n">
        <v>62193125.21781</v>
      </c>
      <c r="L17" s="9" t="n">
        <f aca="false">I17/K17-1</f>
        <v>0.208459724174905</v>
      </c>
      <c r="M17" s="8" t="n">
        <v>64967749</v>
      </c>
      <c r="N17" s="8" t="n">
        <v>65102743.40245</v>
      </c>
      <c r="O17" s="9" t="n">
        <f aca="false">N17/M17</f>
        <v>1.0020778679349</v>
      </c>
      <c r="P17" s="8" t="n">
        <v>61562161.55426</v>
      </c>
      <c r="Q17" s="9" t="n">
        <f aca="false">N17/P17-1</f>
        <v>0.0575123055916318</v>
      </c>
      <c r="R17" s="8" t="n">
        <v>85500000</v>
      </c>
      <c r="S17" s="8" t="n">
        <v>84127237.03243</v>
      </c>
      <c r="T17" s="9" t="n">
        <f aca="false">S17/R17</f>
        <v>0.983944292776959</v>
      </c>
      <c r="U17" s="8" t="n">
        <v>80861414.19236</v>
      </c>
      <c r="V17" s="9" t="n">
        <f aca="false">S17/U17-1</f>
        <v>0.0403879016053439</v>
      </c>
      <c r="W17" s="8" t="n">
        <v>87500000</v>
      </c>
      <c r="X17" s="8" t="n">
        <v>87560608.37718</v>
      </c>
      <c r="Y17" s="9" t="n">
        <f aca="false">X17/W17</f>
        <v>1.00069266716777</v>
      </c>
      <c r="Z17" s="8" t="n">
        <v>82427193.20646</v>
      </c>
      <c r="AA17" s="9" t="n">
        <f aca="false">X17/Z17-1</f>
        <v>0.062278175090374</v>
      </c>
      <c r="AB17" s="8" t="n">
        <v>90500000</v>
      </c>
      <c r="AC17" s="8" t="n">
        <v>92247738.73823</v>
      </c>
      <c r="AD17" s="9" t="n">
        <f aca="false">AC17/AB17</f>
        <v>1.01931203025669</v>
      </c>
      <c r="AE17" s="8" t="n">
        <v>85642530.33848</v>
      </c>
      <c r="AF17" s="9" t="n">
        <f aca="false">AC17/AE17-1</f>
        <v>0.0771253298290537</v>
      </c>
      <c r="AG17" s="8" t="n">
        <v>75008732</v>
      </c>
      <c r="AH17" s="8" t="n">
        <v>78830244.92048</v>
      </c>
      <c r="AI17" s="9" t="n">
        <f aca="false">AH17/AG17</f>
        <v>1.05094757395019</v>
      </c>
      <c r="AJ17" s="8" t="n">
        <v>70599332.63226</v>
      </c>
      <c r="AK17" s="9" t="n">
        <f aca="false">AH17/AJ17-1</f>
        <v>0.116586261956518</v>
      </c>
    </row>
    <row r="18" customFormat="false" ht="14" hidden="false" customHeight="true" outlineLevel="0" collapsed="false">
      <c r="B18" s="7" t="s">
        <v>14</v>
      </c>
      <c r="C18" s="8" t="n">
        <f aca="false">H18+H7+M18+R18+W18+AB18+AG18</f>
        <v>1022276422.72254</v>
      </c>
      <c r="D18" s="8" t="n">
        <f aca="false">I18+D7+N18+S18+X18+AC18+AH18</f>
        <v>801315754.4407</v>
      </c>
      <c r="E18" s="9" t="n">
        <f aca="false">D18/C18</f>
        <v>0.783854285034399</v>
      </c>
      <c r="F18" s="8" t="n">
        <f aca="false">K18+F7+P18+U18+Z18+AE18+AJ18</f>
        <v>844910183.98871</v>
      </c>
      <c r="G18" s="9" t="n">
        <f aca="false">D18/F18-1</f>
        <v>-0.0515965251385734</v>
      </c>
      <c r="H18" s="8" t="n">
        <v>166917899</v>
      </c>
      <c r="I18" s="8" t="n">
        <v>147154400.71296</v>
      </c>
      <c r="J18" s="9" t="n">
        <f aca="false">I18/H18</f>
        <v>0.881597489511655</v>
      </c>
      <c r="K18" s="8" t="n">
        <v>139284473.46789</v>
      </c>
      <c r="L18" s="9" t="n">
        <f aca="false">I18/K18-1</f>
        <v>0.0565025451087648</v>
      </c>
      <c r="M18" s="8" t="n">
        <v>121176410</v>
      </c>
      <c r="N18" s="8" t="n">
        <v>100323158.00826</v>
      </c>
      <c r="O18" s="9" t="n">
        <f aca="false">N18/M18</f>
        <v>0.82790997033383</v>
      </c>
      <c r="P18" s="8" t="n">
        <v>92957760.08077</v>
      </c>
      <c r="Q18" s="9" t="n">
        <f aca="false">N18/P18-1</f>
        <v>0.0792338145959013</v>
      </c>
      <c r="R18" s="8" t="n">
        <v>149666097</v>
      </c>
      <c r="S18" s="8" t="n">
        <v>115540127.44901</v>
      </c>
      <c r="T18" s="9" t="n">
        <f aca="false">S18/R18</f>
        <v>0.77198597254133</v>
      </c>
      <c r="U18" s="8" t="n">
        <v>124709048.818</v>
      </c>
      <c r="V18" s="9" t="n">
        <f aca="false">S18/U18-1</f>
        <v>-0.0735225026242571</v>
      </c>
      <c r="W18" s="8" t="n">
        <v>159000000</v>
      </c>
      <c r="X18" s="8" t="n">
        <v>122586915.8165</v>
      </c>
      <c r="Y18" s="9" t="n">
        <f aca="false">X18/W18</f>
        <v>0.770986891927673</v>
      </c>
      <c r="Z18" s="8" t="n">
        <v>133891776.93629</v>
      </c>
      <c r="AA18" s="9" t="n">
        <f aca="false">X18/Z18-1</f>
        <v>-0.0844328261112646</v>
      </c>
      <c r="AB18" s="8" t="n">
        <v>167000000</v>
      </c>
      <c r="AC18" s="8" t="n">
        <v>129220330.1276</v>
      </c>
      <c r="AD18" s="9" t="n">
        <f aca="false">AC18/AB18</f>
        <v>0.773774431901796</v>
      </c>
      <c r="AE18" s="8" t="n">
        <v>140909244.71651</v>
      </c>
      <c r="AF18" s="9" t="n">
        <f aca="false">AC18/AE18-1</f>
        <v>-0.0829534968583963</v>
      </c>
      <c r="AG18" s="8" t="n">
        <v>135000000</v>
      </c>
      <c r="AH18" s="8" t="n">
        <v>97296856.42804</v>
      </c>
      <c r="AI18" s="9" t="n">
        <f aca="false">AH18/AG18</f>
        <v>0.720717455022519</v>
      </c>
      <c r="AJ18" s="8" t="n">
        <v>114042030.67125</v>
      </c>
      <c r="AK18" s="9" t="n">
        <f aca="false">AH18/AJ18-1</f>
        <v>-0.146833357356477</v>
      </c>
    </row>
    <row r="19" customFormat="false" ht="14" hidden="false" customHeight="true" outlineLevel="0" collapsed="false">
      <c r="B19" s="7" t="s">
        <v>15</v>
      </c>
      <c r="C19" s="8" t="n">
        <f aca="false">H19+H8+M19+R19+W19+AB19+AG19</f>
        <v>86638937.3113555</v>
      </c>
      <c r="D19" s="8" t="n">
        <f aca="false">I19+D8+N19+S19+X19+AC19+AH19</f>
        <v>105319565.64267</v>
      </c>
      <c r="E19" s="9" t="n">
        <f aca="false">D19/C19</f>
        <v>1.21561469832186</v>
      </c>
      <c r="F19" s="8" t="n">
        <f aca="false">K19+F8+P19+U19+Z19+AE19+AJ19</f>
        <v>73746268.70716</v>
      </c>
      <c r="G19" s="9" t="n">
        <f aca="false">D19/F19-1</f>
        <v>0.42813416175515</v>
      </c>
      <c r="H19" s="8" t="n">
        <v>12361972</v>
      </c>
      <c r="I19" s="8" t="n">
        <v>15663279.21225</v>
      </c>
      <c r="J19" s="9" t="n">
        <f aca="false">I19/H19</f>
        <v>1.26705344521489</v>
      </c>
      <c r="K19" s="8" t="n">
        <v>10578276.17718</v>
      </c>
      <c r="L19" s="9" t="n">
        <f aca="false">I19/K19-1</f>
        <v>0.480702427304709</v>
      </c>
      <c r="M19" s="8" t="n">
        <v>12531780</v>
      </c>
      <c r="N19" s="8" t="n">
        <v>15904460.09178</v>
      </c>
      <c r="O19" s="9" t="n">
        <f aca="false">N19/M19</f>
        <v>1.26913017079617</v>
      </c>
      <c r="P19" s="8" t="n">
        <v>11369547.31715</v>
      </c>
      <c r="Q19" s="9" t="n">
        <f aca="false">N19/P19-1</f>
        <v>0.398864849068306</v>
      </c>
      <c r="R19" s="8" t="n">
        <v>14364169</v>
      </c>
      <c r="S19" s="8" t="n">
        <v>17546643.63365</v>
      </c>
      <c r="T19" s="9" t="n">
        <f aca="false">S19/R19</f>
        <v>1.22155647386563</v>
      </c>
      <c r="U19" s="8" t="n">
        <v>12314469.92101</v>
      </c>
      <c r="V19" s="9" t="n">
        <f aca="false">S19/U19-1</f>
        <v>0.424880140696375</v>
      </c>
      <c r="W19" s="8" t="n">
        <v>14909847</v>
      </c>
      <c r="X19" s="8" t="n">
        <v>16209575.43854</v>
      </c>
      <c r="Y19" s="9" t="n">
        <f aca="false">X19/W19</f>
        <v>1.08717248664859</v>
      </c>
      <c r="Z19" s="8" t="n">
        <v>12780802.04293</v>
      </c>
      <c r="AA19" s="9" t="n">
        <f aca="false">X19/Z19-1</f>
        <v>0.268275291651724</v>
      </c>
      <c r="AB19" s="8" t="n">
        <v>13930836</v>
      </c>
      <c r="AC19" s="8" t="n">
        <v>17184923.91334</v>
      </c>
      <c r="AD19" s="9" t="n">
        <f aca="false">AC19/AB19</f>
        <v>1.23358884659471</v>
      </c>
      <c r="AE19" s="8" t="n">
        <v>11686496.80066</v>
      </c>
      <c r="AF19" s="9" t="n">
        <f aca="false">AC19/AE19-1</f>
        <v>0.470494041667771</v>
      </c>
      <c r="AG19" s="8" t="n">
        <v>9709857</v>
      </c>
      <c r="AH19" s="8" t="n">
        <v>12495040.30841</v>
      </c>
      <c r="AI19" s="9" t="n">
        <f aca="false">AH19/AG19</f>
        <v>1.28684081633849</v>
      </c>
      <c r="AJ19" s="8" t="n">
        <v>7803287.1717</v>
      </c>
      <c r="AK19" s="9" t="n">
        <f aca="false">AH19/AJ19-1</f>
        <v>0.60125342480352</v>
      </c>
    </row>
    <row r="20" customFormat="false" ht="14" hidden="false" customHeight="true" outlineLevel="0" collapsed="false">
      <c r="B20" s="7" t="s">
        <v>16</v>
      </c>
      <c r="C20" s="8" t="n">
        <f aca="false">H20+H9+M20+R20+W20+AB20+AG20</f>
        <v>819400416.148361</v>
      </c>
      <c r="D20" s="8" t="n">
        <f aca="false">I20+D9+N20+S20+X20+AC20+AH20</f>
        <v>763393685.13167</v>
      </c>
      <c r="E20" s="9" t="n">
        <f aca="false">D20/C20</f>
        <v>0.931649130372726</v>
      </c>
      <c r="F20" s="8" t="n">
        <f aca="false">K20+F9+P20+U20+Z20+AE20+AJ20</f>
        <v>723182709.913</v>
      </c>
      <c r="G20" s="9" t="n">
        <f aca="false">D20/F20-1</f>
        <v>0.0556027884343464</v>
      </c>
      <c r="H20" s="8" t="n">
        <v>153070506</v>
      </c>
      <c r="I20" s="8" t="n">
        <v>149853955.98129</v>
      </c>
      <c r="J20" s="9" t="n">
        <f aca="false">I20/H20</f>
        <v>0.978986480787422</v>
      </c>
      <c r="K20" s="8" t="n">
        <v>133573054.92636</v>
      </c>
      <c r="L20" s="9" t="n">
        <f aca="false">I20/K20-1</f>
        <v>0.121887614713206</v>
      </c>
      <c r="M20" s="8" t="n">
        <v>119985899</v>
      </c>
      <c r="N20" s="8" t="n">
        <v>122495393.90419</v>
      </c>
      <c r="O20" s="9" t="n">
        <f aca="false">N20/M20</f>
        <v>1.02091491521175</v>
      </c>
      <c r="P20" s="8" t="n">
        <v>115231325.0318</v>
      </c>
      <c r="Q20" s="9" t="n">
        <f aca="false">N20/P20-1</f>
        <v>0.0630390119213276</v>
      </c>
      <c r="R20" s="8" t="n">
        <v>124000000</v>
      </c>
      <c r="S20" s="8" t="n">
        <v>113766950.90421</v>
      </c>
      <c r="T20" s="9" t="n">
        <f aca="false">S20/R20</f>
        <v>0.917475410517823</v>
      </c>
      <c r="U20" s="8" t="n">
        <v>107716849.65928</v>
      </c>
      <c r="V20" s="9" t="n">
        <f aca="false">S20/U20-1</f>
        <v>0.0561667117453502</v>
      </c>
      <c r="W20" s="8" t="n">
        <v>111000000</v>
      </c>
      <c r="X20" s="8" t="n">
        <v>76671412.99906</v>
      </c>
      <c r="Y20" s="9" t="n">
        <f aca="false">X20/W20</f>
        <v>0.690733450441982</v>
      </c>
      <c r="Z20" s="8" t="n">
        <v>96906534.88341</v>
      </c>
      <c r="AA20" s="9" t="n">
        <f aca="false">X20/Z20-1</f>
        <v>-0.208810705167564</v>
      </c>
      <c r="AB20" s="8" t="n">
        <v>125000000</v>
      </c>
      <c r="AC20" s="8" t="n">
        <v>131730352.44366</v>
      </c>
      <c r="AD20" s="9" t="n">
        <f aca="false">AC20/AB20</f>
        <v>1.05384281954928</v>
      </c>
      <c r="AE20" s="8" t="n">
        <v>109483153.26701</v>
      </c>
      <c r="AF20" s="9" t="n">
        <f aca="false">AC20/AE20-1</f>
        <v>0.203202031662287</v>
      </c>
      <c r="AG20" s="8" t="n">
        <v>104000000</v>
      </c>
      <c r="AH20" s="8" t="n">
        <v>89351739.05992</v>
      </c>
      <c r="AI20" s="9" t="n">
        <f aca="false">AH20/AG20</f>
        <v>0.859151337114615</v>
      </c>
      <c r="AJ20" s="8" t="n">
        <v>91121782.15383</v>
      </c>
      <c r="AK20" s="9" t="n">
        <f aca="false">AH20/AJ20-1</f>
        <v>-0.0194250271677288</v>
      </c>
    </row>
    <row r="21" customFormat="false" ht="14" hidden="false" customHeight="true" outlineLevel="0" collapsed="false">
      <c r="B21" s="7" t="s">
        <v>17</v>
      </c>
      <c r="C21" s="8" t="n">
        <f aca="false">H21+H10+M21+R21+W21+AB21+AG21</f>
        <v>704057068.361271</v>
      </c>
      <c r="D21" s="8" t="n">
        <f aca="false">I21+D10+N21+S21+X21+AC21+AH21</f>
        <v>585436838.82068</v>
      </c>
      <c r="E21" s="9" t="n">
        <f aca="false">D21/C21</f>
        <v>0.831519013342647</v>
      </c>
      <c r="F21" s="8" t="n">
        <f aca="false">K21+F10+P21+U21+Z21+AE21+AJ21</f>
        <v>625083315.4809</v>
      </c>
      <c r="G21" s="9" t="n">
        <f aca="false">D21/F21-1</f>
        <v>-0.0634259076803522</v>
      </c>
      <c r="H21" s="8" t="n">
        <v>116730861</v>
      </c>
      <c r="I21" s="8" t="n">
        <v>108106098.28546</v>
      </c>
      <c r="J21" s="9" t="n">
        <f aca="false">I21/H21</f>
        <v>0.926114117203847</v>
      </c>
      <c r="K21" s="8" t="n">
        <v>100754526.006</v>
      </c>
      <c r="L21" s="9" t="n">
        <f aca="false">I21/K21-1</f>
        <v>0.0729651815246712</v>
      </c>
      <c r="M21" s="8" t="n">
        <v>149568199</v>
      </c>
      <c r="N21" s="8" t="n">
        <v>92083582.30304</v>
      </c>
      <c r="O21" s="9" t="n">
        <f aca="false">N21/M21</f>
        <v>0.615662840889326</v>
      </c>
      <c r="P21" s="8" t="n">
        <v>142498806.13318</v>
      </c>
      <c r="Q21" s="9" t="n">
        <f aca="false">N21/P21-1</f>
        <v>-0.353794008512757</v>
      </c>
      <c r="R21" s="8" t="n">
        <v>110000000</v>
      </c>
      <c r="S21" s="8" t="n">
        <v>90892387.41354</v>
      </c>
      <c r="T21" s="9" t="n">
        <f aca="false">S21/R21</f>
        <v>0.826294431032182</v>
      </c>
      <c r="U21" s="8" t="n">
        <v>96542725.62295</v>
      </c>
      <c r="V21" s="9" t="n">
        <f aca="false">S21/U21-1</f>
        <v>-0.0585268146610811</v>
      </c>
      <c r="W21" s="8" t="n">
        <v>88000000</v>
      </c>
      <c r="X21" s="8" t="n">
        <v>60637515.29646</v>
      </c>
      <c r="Y21" s="9" t="n">
        <f aca="false">X21/W21</f>
        <v>0.689062673823409</v>
      </c>
      <c r="Z21" s="8" t="n">
        <v>76289720.86649</v>
      </c>
      <c r="AA21" s="9" t="n">
        <f aca="false">X21/Z21-1</f>
        <v>-0.205167949131993</v>
      </c>
      <c r="AB21" s="8" t="n">
        <v>113000000</v>
      </c>
      <c r="AC21" s="8" t="n">
        <v>107283441.80989</v>
      </c>
      <c r="AD21" s="9" t="n">
        <f aca="false">AC21/AB21</f>
        <v>0.949410989468053</v>
      </c>
      <c r="AE21" s="8" t="n">
        <v>98510572.27473</v>
      </c>
      <c r="AF21" s="9" t="n">
        <f aca="false">AC21/AE21-1</f>
        <v>0.0890551068030942</v>
      </c>
      <c r="AG21" s="8" t="n">
        <v>65000000</v>
      </c>
      <c r="AH21" s="8" t="n">
        <v>67826846.48261</v>
      </c>
      <c r="AI21" s="9" t="n">
        <f aca="false">AH21/AG21</f>
        <v>1.04348994588631</v>
      </c>
      <c r="AJ21" s="8" t="n">
        <v>57531241.56743</v>
      </c>
      <c r="AK21" s="9" t="n">
        <f aca="false">AH21/AJ21-1</f>
        <v>0.178956765657716</v>
      </c>
    </row>
    <row r="22" customFormat="false" ht="14" hidden="false" customHeight="true" outlineLevel="0" collapsed="false">
      <c r="B22" s="7" t="s">
        <v>18</v>
      </c>
      <c r="C22" s="8" t="n">
        <f aca="false">H22+H11+M22+R22+W22+AB22+AG22</f>
        <v>483034323.224126</v>
      </c>
      <c r="D22" s="8" t="n">
        <f aca="false">I22+D11+N22+S22+X22+AC22+AH22</f>
        <v>388630693.08212</v>
      </c>
      <c r="E22" s="9" t="n">
        <f aca="false">D22/C22</f>
        <v>0.804561237984317</v>
      </c>
      <c r="F22" s="8" t="n">
        <f aca="false">K22+F11+P22+U22+Z22+AE22+AJ22</f>
        <v>427348892.57483</v>
      </c>
      <c r="G22" s="9" t="n">
        <f aca="false">D22/F22-1</f>
        <v>-0.0906009121947832</v>
      </c>
      <c r="H22" s="8" t="n">
        <v>61749980</v>
      </c>
      <c r="I22" s="8" t="n">
        <v>58656531.59586</v>
      </c>
      <c r="J22" s="9" t="n">
        <f aca="false">I22/H22</f>
        <v>0.949903653343046</v>
      </c>
      <c r="K22" s="8" t="n">
        <v>54108121.04596</v>
      </c>
      <c r="L22" s="9" t="n">
        <f aca="false">I22/K22-1</f>
        <v>0.0840615135394653</v>
      </c>
      <c r="M22" s="8" t="n">
        <v>54819029</v>
      </c>
      <c r="N22" s="8" t="n">
        <v>51963518.35254</v>
      </c>
      <c r="O22" s="9" t="n">
        <f aca="false">N22/M22</f>
        <v>0.947910229357401</v>
      </c>
      <c r="P22" s="8" t="n">
        <v>51657372.74155</v>
      </c>
      <c r="Q22" s="9" t="n">
        <f aca="false">N22/P22-1</f>
        <v>0.00592646498926097</v>
      </c>
      <c r="R22" s="8" t="n">
        <v>67880797</v>
      </c>
      <c r="S22" s="8" t="n">
        <v>56174213.72603</v>
      </c>
      <c r="T22" s="9" t="n">
        <f aca="false">S22/R22</f>
        <v>0.827542047363262</v>
      </c>
      <c r="U22" s="8" t="n">
        <v>59629252.81212</v>
      </c>
      <c r="V22" s="9" t="n">
        <f aca="false">S22/U22-1</f>
        <v>-0.0579420154228018</v>
      </c>
      <c r="W22" s="8" t="n">
        <v>71911226</v>
      </c>
      <c r="X22" s="8" t="n">
        <v>52637000.6932</v>
      </c>
      <c r="Y22" s="9" t="n">
        <f aca="false">X22/W22</f>
        <v>0.731971955160381</v>
      </c>
      <c r="Z22" s="8" t="n">
        <v>63148669.64872</v>
      </c>
      <c r="AA22" s="9" t="n">
        <f aca="false">X22/Z22-1</f>
        <v>-0.166459072122877</v>
      </c>
      <c r="AB22" s="8" t="n">
        <v>99180989</v>
      </c>
      <c r="AC22" s="8" t="n">
        <v>71091802.8185</v>
      </c>
      <c r="AD22" s="9" t="n">
        <f aca="false">AC22/AB22</f>
        <v>0.716788605712532</v>
      </c>
      <c r="AE22" s="8" t="n">
        <v>87088997.22617</v>
      </c>
      <c r="AF22" s="9" t="n">
        <f aca="false">AC22/AE22-1</f>
        <v>-0.183687893042623</v>
      </c>
      <c r="AG22" s="8" t="n">
        <v>69111524</v>
      </c>
      <c r="AH22" s="8" t="n">
        <v>54088680.61899</v>
      </c>
      <c r="AI22" s="9" t="n">
        <f aca="false">AH22/AG22</f>
        <v>0.782628966755096</v>
      </c>
      <c r="AJ22" s="8" t="n">
        <v>60586484.7909</v>
      </c>
      <c r="AK22" s="9" t="n">
        <f aca="false">AH22/AJ22-1</f>
        <v>-0.107248410174904</v>
      </c>
    </row>
    <row r="23" customFormat="false" ht="14" hidden="false" customHeight="true" outlineLevel="0" collapsed="false">
      <c r="B23" s="7" t="s">
        <v>19</v>
      </c>
      <c r="C23" s="8" t="n">
        <f aca="false">H23+H12+M23+R23+W23+AB23+AG23</f>
        <v>3652883722.31952</v>
      </c>
      <c r="D23" s="8" t="n">
        <f aca="false">I23+D12+N23+S23+X23+AC23+AH23</f>
        <v>3191452952.82135</v>
      </c>
      <c r="E23" s="9" t="n">
        <f aca="false">D23/C23</f>
        <v>0.873680411265551</v>
      </c>
      <c r="F23" s="8" t="n">
        <f aca="false">K23+F12+P23+U23+Z23+AE23+AJ23</f>
        <v>3199525303.39342</v>
      </c>
      <c r="G23" s="9" t="n">
        <f aca="false">D23/F23-1</f>
        <v>-0.00252298381997751</v>
      </c>
      <c r="H23" s="8" t="n">
        <f aca="false">SUM(H17:H22)</f>
        <v>577636707</v>
      </c>
      <c r="I23" s="8" t="n">
        <f aca="false">SUM(I17:I22)</f>
        <v>554592152.73411</v>
      </c>
      <c r="J23" s="9" t="n">
        <f aca="false">I23/H23</f>
        <v>0.960105453849057</v>
      </c>
      <c r="K23" s="8" t="n">
        <f aca="false">SUM(K17:K22)</f>
        <v>500491576.8412</v>
      </c>
      <c r="L23" s="9" t="n">
        <f aca="false">I23/K23-1</f>
        <v>0.108094877908556</v>
      </c>
      <c r="M23" s="8" t="n">
        <f aca="false">SUM(M17:M22)</f>
        <v>523049066</v>
      </c>
      <c r="N23" s="8" t="n">
        <f aca="false">SUM(N17:N22)</f>
        <v>447872856.06226</v>
      </c>
      <c r="O23" s="9" t="n">
        <f aca="false">N23/M23</f>
        <v>0.856273120774983</v>
      </c>
      <c r="P23" s="8" t="n">
        <f aca="false">SUM(P17:P22)</f>
        <v>475276972.85871</v>
      </c>
      <c r="Q23" s="9" t="n">
        <f aca="false">N23/P23-1</f>
        <v>-0.0576592563103128</v>
      </c>
      <c r="R23" s="8" t="n">
        <f aca="false">SUM(R17:R22)</f>
        <v>551411063</v>
      </c>
      <c r="S23" s="8" t="n">
        <f aca="false">SUM(S17:S22)</f>
        <v>478047560.15887</v>
      </c>
      <c r="T23" s="9" t="n">
        <f aca="false">S23/R23</f>
        <v>0.866953153892144</v>
      </c>
      <c r="U23" s="8" t="n">
        <f aca="false">SUM(U17:U22)</f>
        <v>481773761.02572</v>
      </c>
      <c r="V23" s="9" t="n">
        <f aca="false">S23/U23-1</f>
        <v>-0.00773433750089825</v>
      </c>
      <c r="W23" s="8" t="n">
        <f aca="false">SUM(W17:W22)</f>
        <v>532321073</v>
      </c>
      <c r="X23" s="8" t="n">
        <f aca="false">SUM(X17:X22)</f>
        <v>416303028.62094</v>
      </c>
      <c r="Y23" s="9" t="n">
        <f aca="false">X23/W23</f>
        <v>0.78205250503194</v>
      </c>
      <c r="Z23" s="8" t="n">
        <f aca="false">SUM(Z17:Z22)</f>
        <v>465444697.5843</v>
      </c>
      <c r="AA23" s="9" t="n">
        <f aca="false">X23/Z23-1</f>
        <v>-0.105580038226689</v>
      </c>
      <c r="AB23" s="8" t="n">
        <f aca="false">SUM(AB17:AB22)</f>
        <v>608611825</v>
      </c>
      <c r="AC23" s="8" t="n">
        <f aca="false">SUM(AC17:AC22)</f>
        <v>548758589.85122</v>
      </c>
      <c r="AD23" s="9" t="n">
        <f aca="false">AC23/AB23</f>
        <v>0.901656141582888</v>
      </c>
      <c r="AE23" s="8" t="n">
        <f aca="false">SUM(AE17:AE22)</f>
        <v>533320994.62356</v>
      </c>
      <c r="AF23" s="9" t="n">
        <f aca="false">AC23/AE23-1</f>
        <v>0.0289461607236303</v>
      </c>
      <c r="AG23" s="8" t="n">
        <f aca="false">SUM(AG17:AG22)</f>
        <v>457830113</v>
      </c>
      <c r="AH23" s="8" t="n">
        <f aca="false">SUM(AH17:AH22)</f>
        <v>399889407.81845</v>
      </c>
      <c r="AI23" s="9" t="n">
        <f aca="false">AH23/AG23</f>
        <v>0.873444966732562</v>
      </c>
      <c r="AJ23" s="8" t="n">
        <f aca="false">SUM(AJ17:AJ22)</f>
        <v>401684158.98737</v>
      </c>
      <c r="AK23" s="9" t="n">
        <f aca="false">AH23/AJ23-1</f>
        <v>-0.00446806559025004</v>
      </c>
    </row>
    <row r="24" customFormat="false" ht="14" hidden="false" customHeight="true" outlineLevel="0" collapsed="false">
      <c r="B24" s="2"/>
    </row>
    <row r="25" customFormat="false" ht="14" hidden="false" customHeight="true" outlineLevel="0" collapsed="false"/>
    <row r="26" customFormat="false" ht="13.5" hidden="false" customHeight="true" outlineLevel="0" collapsed="false">
      <c r="B26" s="2" t="s">
        <v>51</v>
      </c>
      <c r="C26" s="11"/>
    </row>
    <row r="27" customFormat="false" ht="27" hidden="false" customHeight="true" outlineLevel="0" collapsed="false">
      <c r="B27" s="6" t="s">
        <v>52</v>
      </c>
      <c r="C27" s="6" t="s">
        <v>53</v>
      </c>
      <c r="D27" s="6" t="s">
        <v>54</v>
      </c>
      <c r="E27" s="6" t="s">
        <v>55</v>
      </c>
      <c r="F27" s="16" t="s">
        <v>56</v>
      </c>
      <c r="G27" s="16" t="s">
        <v>57</v>
      </c>
      <c r="H27" s="16" t="s">
        <v>58</v>
      </c>
      <c r="I27" s="16" t="s">
        <v>59</v>
      </c>
      <c r="J27" s="16" t="s">
        <v>60</v>
      </c>
    </row>
    <row r="28" customFormat="false" ht="13" hidden="true" customHeight="true" outlineLevel="0" collapsed="false">
      <c r="B28" s="17" t="s">
        <v>61</v>
      </c>
      <c r="C28" s="8" t="n">
        <v>555622780.132849</v>
      </c>
      <c r="D28" s="8" t="n">
        <v>396706641.059715</v>
      </c>
      <c r="E28" s="8" t="n">
        <f aca="false">D28*F28</f>
        <v>72288169.317263</v>
      </c>
      <c r="F28" s="12" t="n">
        <v>0.182220718877206</v>
      </c>
      <c r="G28" s="12" t="n">
        <v>0.1909413295</v>
      </c>
      <c r="H28" s="9" t="n">
        <f aca="false">F28-G28</f>
        <v>-0.008720610622794</v>
      </c>
      <c r="I28" s="9" t="n">
        <f aca="false">F28/G28</f>
        <v>0.954328323545092</v>
      </c>
      <c r="J28" s="8" t="n">
        <f aca="false">D28*H28</f>
        <v>-3459524.14815828</v>
      </c>
    </row>
    <row r="29" customFormat="false" ht="13" hidden="true" customHeight="true" outlineLevel="0" collapsed="false">
      <c r="B29" s="17" t="s">
        <v>62</v>
      </c>
      <c r="C29" s="8" t="n">
        <v>447220282.00047</v>
      </c>
      <c r="D29" s="8" t="n">
        <v>334502062.080119</v>
      </c>
      <c r="E29" s="8" t="n">
        <f aca="false">D29*F29</f>
        <v>59776025.791633</v>
      </c>
      <c r="F29" s="12" t="n">
        <v>0.178701516576348</v>
      </c>
      <c r="G29" s="12" t="n">
        <v>0.1646759882</v>
      </c>
      <c r="H29" s="9" t="n">
        <f aca="false">F29-G29</f>
        <v>0.014025528376348</v>
      </c>
      <c r="I29" s="9" t="n">
        <f aca="false">F29/G29</f>
        <v>1.08517045216886</v>
      </c>
      <c r="J29" s="8" t="n">
        <f aca="false">D29*H29</f>
        <v>4691568.16365163</v>
      </c>
      <c r="K29" s="4"/>
    </row>
    <row r="30" customFormat="false" ht="13" hidden="true" customHeight="true" outlineLevel="0" collapsed="false">
      <c r="B30" s="17" t="s">
        <v>63</v>
      </c>
      <c r="C30" s="8" t="n">
        <v>478333443.925845</v>
      </c>
      <c r="D30" s="8" t="n">
        <v>328879123.24982</v>
      </c>
      <c r="E30" s="8" t="n">
        <f aca="false">D30*F30</f>
        <v>64241296.4338629</v>
      </c>
      <c r="F30" s="12" t="n">
        <v>0.195334066203602</v>
      </c>
      <c r="G30" s="12" t="n">
        <v>0.1908887558</v>
      </c>
      <c r="H30" s="9" t="n">
        <f aca="false">F30-G30</f>
        <v>0.00444531040360199</v>
      </c>
      <c r="I30" s="9" t="n">
        <f aca="false">F30/G30</f>
        <v>1.02328743977073</v>
      </c>
      <c r="J30" s="8" t="n">
        <f aca="false">D30*H30</f>
        <v>1461969.78810993</v>
      </c>
      <c r="K30" s="4"/>
    </row>
    <row r="31" customFormat="false" ht="13" hidden="true" customHeight="true" outlineLevel="0" collapsed="false">
      <c r="B31" s="17" t="s">
        <v>64</v>
      </c>
      <c r="C31" s="8" t="n">
        <v>416610612.279205</v>
      </c>
      <c r="D31" s="8" t="n">
        <v>282321870.920285</v>
      </c>
      <c r="E31" s="8" t="n">
        <f aca="false">D31*F31</f>
        <v>60154818.0249009</v>
      </c>
      <c r="F31" s="12" t="n">
        <v>0.213071760359246</v>
      </c>
      <c r="G31" s="12" t="n">
        <v>0.2043413644</v>
      </c>
      <c r="H31" s="9" t="n">
        <f aca="false">F31-G31</f>
        <v>0.00873039595924599</v>
      </c>
      <c r="I31" s="9" t="n">
        <f aca="false">F31/G31</f>
        <v>1.04272456526304</v>
      </c>
      <c r="J31" s="8" t="n">
        <f aca="false">D31*H31</f>
        <v>2464781.72108922</v>
      </c>
      <c r="K31" s="4"/>
    </row>
    <row r="32" customFormat="false" ht="13" hidden="true" customHeight="true" outlineLevel="0" collapsed="false">
      <c r="B32" s="17" t="s">
        <v>65</v>
      </c>
      <c r="C32" s="8" t="n">
        <f aca="false">SUM(C28:C31)</f>
        <v>1897787118.33837</v>
      </c>
      <c r="D32" s="8" t="n">
        <f aca="false">SUM(D28:D31)</f>
        <v>1342409697.30994</v>
      </c>
      <c r="E32" s="8" t="n">
        <f aca="false">SUM(E28:E31)</f>
        <v>256460309.56766</v>
      </c>
      <c r="F32" s="12" t="n">
        <f aca="false">E32/D32</f>
        <v>0.191044738488989</v>
      </c>
      <c r="G32" s="12" t="n">
        <v>0.187486970121295</v>
      </c>
      <c r="H32" s="9" t="n">
        <f aca="false">F32-G32</f>
        <v>0.00355776836769378</v>
      </c>
      <c r="I32" s="9" t="n">
        <f aca="false">F32/G32</f>
        <v>1.01897608332671</v>
      </c>
      <c r="J32" s="8" t="n">
        <f aca="false">H32*D32</f>
        <v>4775982.75757468</v>
      </c>
      <c r="K32" s="4"/>
    </row>
    <row r="33" customFormat="false" ht="13" hidden="true" customHeight="true" outlineLevel="0" collapsed="false">
      <c r="B33" s="17" t="s">
        <v>66</v>
      </c>
      <c r="C33" s="8" t="n">
        <v>547886460.102991</v>
      </c>
      <c r="D33" s="8" t="n">
        <v>379551863.390769</v>
      </c>
      <c r="E33" s="8" t="n">
        <f aca="false">D33*F33</f>
        <v>72973540.2039461</v>
      </c>
      <c r="F33" s="12" t="n">
        <v>0.192262368446907</v>
      </c>
      <c r="G33" s="12" t="n">
        <v>0.2050649911</v>
      </c>
      <c r="H33" s="9" t="n">
        <f aca="false">F33-G33</f>
        <v>-0.012802622653093</v>
      </c>
      <c r="I33" s="9" t="n">
        <f aca="false">F33/G33</f>
        <v>0.937567974989696</v>
      </c>
      <c r="J33" s="8" t="n">
        <f aca="false">D33*H33</f>
        <v>-4859259.28427032</v>
      </c>
      <c r="K33" s="4"/>
      <c r="N33" s="18"/>
    </row>
    <row r="34" customFormat="false" ht="13" hidden="true" customHeight="true" outlineLevel="0" collapsed="false">
      <c r="B34" s="17" t="s">
        <v>67</v>
      </c>
      <c r="C34" s="8" t="n">
        <f aca="false">C32+C33</f>
        <v>2445673578.44136</v>
      </c>
      <c r="D34" s="8" t="n">
        <f aca="false">D32+D33</f>
        <v>1721961560.70071</v>
      </c>
      <c r="E34" s="8" t="n">
        <f aca="false">E32+E33</f>
        <v>329433849.771606</v>
      </c>
      <c r="F34" s="12" t="n">
        <f aca="false">E34/D34</f>
        <v>0.191313126430971</v>
      </c>
      <c r="G34" s="12" t="n">
        <v>0.19115301638457</v>
      </c>
      <c r="H34" s="9" t="n">
        <f aca="false">F34-G34</f>
        <v>0.000160110046400597</v>
      </c>
      <c r="I34" s="9" t="n">
        <f aca="false">F34/G34</f>
        <v>1.00083760146415</v>
      </c>
      <c r="J34" s="8" t="n">
        <f aca="false">D34*H34</f>
        <v>275703.345383834</v>
      </c>
      <c r="K34" s="4"/>
    </row>
    <row r="35" customFormat="false" ht="13" hidden="true" customHeight="true" outlineLevel="0" collapsed="false">
      <c r="B35" s="17" t="s">
        <v>68</v>
      </c>
      <c r="C35" s="8" t="n">
        <v>400099823.817903</v>
      </c>
      <c r="D35" s="8" t="n">
        <v>264735399.340379</v>
      </c>
      <c r="E35" s="8" t="n">
        <f aca="false">D35*F35</f>
        <v>54008495.1550231</v>
      </c>
      <c r="F35" s="12" t="n">
        <v>0.204009344007609</v>
      </c>
      <c r="G35" s="12" t="n">
        <v>0.2091475907</v>
      </c>
      <c r="H35" s="9" t="n">
        <f aca="false">F35-G35</f>
        <v>-0.00513824669239099</v>
      </c>
      <c r="I35" s="9" t="n">
        <f aca="false">F35/G35</f>
        <v>0.975432436609986</v>
      </c>
      <c r="J35" s="8" t="n">
        <f aca="false">D35*H35</f>
        <v>-1360275.79001951</v>
      </c>
      <c r="K35" s="4"/>
    </row>
    <row r="36" customFormat="false" ht="13" hidden="false" customHeight="true" outlineLevel="0" collapsed="false">
      <c r="B36" s="17" t="s">
        <v>69</v>
      </c>
      <c r="C36" s="8" t="n">
        <f aca="false">C34+C35</f>
        <v>2845773402.25926</v>
      </c>
      <c r="D36" s="8" t="n">
        <f aca="false">D34+D35</f>
        <v>1986696960.04109</v>
      </c>
      <c r="E36" s="8" t="n">
        <f aca="false">E34+E35</f>
        <v>383442344.926629</v>
      </c>
      <c r="F36" s="12" t="n">
        <f aca="false">E36/D36</f>
        <v>0.193004948735966</v>
      </c>
      <c r="G36" s="12" t="n">
        <v>0.193593311758038</v>
      </c>
      <c r="H36" s="9" t="n">
        <f aca="false">F36-G36</f>
        <v>-0.000588363022072214</v>
      </c>
      <c r="I36" s="9" t="n">
        <f aca="false">F36/G36</f>
        <v>0.996960829810032</v>
      </c>
      <c r="J36" s="8" t="n">
        <f aca="false">D36*H36</f>
        <v>-1168899.02735145</v>
      </c>
      <c r="K36" s="4"/>
    </row>
    <row r="37" customFormat="false" ht="13" hidden="false" customHeight="true" outlineLevel="0" collapsed="false">
      <c r="B37" s="17" t="s">
        <v>70</v>
      </c>
      <c r="C37" s="8" t="n">
        <v>175660948.884758</v>
      </c>
      <c r="D37" s="8" t="n">
        <v>119512118.629881</v>
      </c>
      <c r="E37" s="8" t="n">
        <f aca="false">D37*F37</f>
        <v>23739665.9275806</v>
      </c>
      <c r="F37" s="12" t="n">
        <v>0.198638148162199</v>
      </c>
      <c r="G37" s="12" t="n">
        <v>0.208874994</v>
      </c>
      <c r="H37" s="9" t="n">
        <f aca="false">F37-G37</f>
        <v>-0.010236845837801</v>
      </c>
      <c r="I37" s="9" t="n">
        <f aca="false">F37/G37</f>
        <v>0.950990563103015</v>
      </c>
      <c r="J37" s="8" t="n">
        <f aca="false">D37*H37</f>
        <v>-1223427.13416308</v>
      </c>
      <c r="K37" s="19" t="s">
        <v>71</v>
      </c>
    </row>
    <row r="38" customFormat="false" ht="13" hidden="false" customHeight="true" outlineLevel="0" collapsed="false">
      <c r="B38" s="17" t="s">
        <v>21</v>
      </c>
      <c r="C38" s="8" t="n">
        <f aca="false">C36+C37</f>
        <v>3021434351.14402</v>
      </c>
      <c r="D38" s="8" t="n">
        <f aca="false">D36+D37</f>
        <v>2106209078.67097</v>
      </c>
      <c r="E38" s="8" t="n">
        <f aca="false">E36+E37</f>
        <v>407182010.85421</v>
      </c>
      <c r="F38" s="12" t="n">
        <f aca="false">E38/D38</f>
        <v>0.193324592025377</v>
      </c>
      <c r="G38" s="12" t="n">
        <f aca="false">F38-(J38/D38)</f>
        <v>0.194975377145126</v>
      </c>
      <c r="H38" s="9" t="n">
        <f aca="false">F38-G38</f>
        <v>-0.00165078511974898</v>
      </c>
      <c r="I38" s="9" t="n">
        <f aca="false">F38/G38</f>
        <v>0.991533366192592</v>
      </c>
      <c r="J38" s="8" t="n">
        <f aca="false">SUM(J34:J37)</f>
        <v>-3476898.60615021</v>
      </c>
    </row>
    <row r="39" customFormat="false" ht="13" hidden="false" customHeight="true" outlineLevel="0" collapsed="false">
      <c r="B39" s="7" t="s">
        <v>72</v>
      </c>
      <c r="C39" s="8" t="n">
        <f aca="false">C38</f>
        <v>3021434351.14402</v>
      </c>
      <c r="D39" s="8" t="n">
        <f aca="false">D38</f>
        <v>2106209078.67097</v>
      </c>
      <c r="E39" s="8" t="n">
        <f aca="false">E38</f>
        <v>407182010.85421</v>
      </c>
      <c r="F39" s="20" t="n">
        <f aca="false">F38</f>
        <v>0.193324592025377</v>
      </c>
      <c r="G39" s="12" t="n">
        <v>0.191470144327704</v>
      </c>
      <c r="H39" s="9" t="n">
        <f aca="false">F39-G39</f>
        <v>0.00185444769767282</v>
      </c>
      <c r="I39" s="9" t="n">
        <f aca="false">F39/G39</f>
        <v>1.00968530996926</v>
      </c>
      <c r="J39" s="8" t="n">
        <f aca="false">D39*H39</f>
        <v>3905854.57675896</v>
      </c>
    </row>
    <row r="40" customFormat="false" ht="13" hidden="false" customHeight="true" outlineLevel="0" collapsed="false">
      <c r="C40" s="18"/>
      <c r="D40" s="18"/>
      <c r="E40" s="18"/>
      <c r="F40" s="12"/>
      <c r="G40" s="12"/>
      <c r="J40" s="18"/>
      <c r="K40" s="4"/>
    </row>
    <row r="42" customFormat="false" ht="13.5" hidden="false" customHeight="true" outlineLevel="0" collapsed="false">
      <c r="B42" s="2" t="s">
        <v>73</v>
      </c>
      <c r="C42" s="4"/>
    </row>
    <row r="43" customFormat="false" ht="13.5" hidden="false" customHeight="true" outlineLevel="0" collapsed="false">
      <c r="B43" s="5" t="s">
        <v>3</v>
      </c>
      <c r="C43" s="4"/>
    </row>
    <row r="44" customFormat="false" ht="14" hidden="false" customHeight="true" outlineLevel="0" collapsed="false">
      <c r="B44" s="21" t="s">
        <v>4</v>
      </c>
      <c r="C44" s="21" t="s">
        <v>74</v>
      </c>
      <c r="D44" s="21"/>
      <c r="E44" s="21"/>
      <c r="F44" s="21"/>
      <c r="G44" s="21"/>
      <c r="H44" s="22" t="s">
        <v>75</v>
      </c>
      <c r="I44" s="22"/>
      <c r="J44" s="22"/>
      <c r="K44" s="22"/>
      <c r="L44" s="23" t="s">
        <v>76</v>
      </c>
      <c r="M44" s="23"/>
      <c r="N44" s="23"/>
      <c r="O44" s="23"/>
      <c r="P44" s="4"/>
    </row>
    <row r="45" customFormat="false" ht="27" hidden="false" customHeight="true" outlineLevel="0" collapsed="false">
      <c r="B45" s="21"/>
      <c r="C45" s="21" t="s">
        <v>77</v>
      </c>
      <c r="D45" s="21" t="s">
        <v>78</v>
      </c>
      <c r="E45" s="21" t="s">
        <v>79</v>
      </c>
      <c r="F45" s="21" t="s">
        <v>80</v>
      </c>
      <c r="G45" s="21" t="s">
        <v>81</v>
      </c>
      <c r="H45" s="22" t="s">
        <v>82</v>
      </c>
      <c r="I45" s="22" t="s">
        <v>83</v>
      </c>
      <c r="J45" s="24" t="s">
        <v>84</v>
      </c>
      <c r="K45" s="24" t="s">
        <v>85</v>
      </c>
      <c r="L45" s="23" t="s">
        <v>82</v>
      </c>
      <c r="M45" s="23" t="s">
        <v>83</v>
      </c>
      <c r="N45" s="25" t="s">
        <v>84</v>
      </c>
      <c r="O45" s="25" t="s">
        <v>85</v>
      </c>
      <c r="P45" s="4"/>
    </row>
    <row r="46" customFormat="false" ht="13.5" hidden="false" customHeight="true" outlineLevel="0" collapsed="false">
      <c r="B46" s="7" t="s">
        <v>16</v>
      </c>
      <c r="C46" s="26" t="n">
        <v>116.41536</v>
      </c>
      <c r="D46" s="27" t="n">
        <v>120</v>
      </c>
      <c r="E46" s="27" t="n">
        <v>0</v>
      </c>
      <c r="F46" s="12" t="n">
        <v>0.970128</v>
      </c>
      <c r="G46" s="12" t="n">
        <v>0.029872</v>
      </c>
      <c r="H46" s="12" t="n">
        <v>0.795681</v>
      </c>
      <c r="I46" s="12" t="n">
        <v>0.8408039576</v>
      </c>
      <c r="J46" s="12" t="n">
        <v>-4.5123</v>
      </c>
      <c r="K46" s="28" t="n">
        <v>0.820804</v>
      </c>
      <c r="L46" s="12" t="n">
        <v>0.982295</v>
      </c>
      <c r="M46" s="12" t="n">
        <v>0.8408039576</v>
      </c>
      <c r="N46" s="12" t="n">
        <v>14.1491</v>
      </c>
      <c r="O46" s="12" t="n">
        <v>0.851804</v>
      </c>
      <c r="P46" s="4"/>
    </row>
    <row r="47" customFormat="false" ht="13.5" hidden="false" customHeight="true" outlineLevel="0" collapsed="false">
      <c r="B47" s="7" t="s">
        <v>17</v>
      </c>
      <c r="C47" s="26" t="n">
        <v>0</v>
      </c>
      <c r="D47" s="27" t="n">
        <v>0</v>
      </c>
      <c r="E47" s="27" t="n">
        <v>0</v>
      </c>
      <c r="F47" s="12" t="n">
        <v>0.548906</v>
      </c>
      <c r="G47" s="12" t="n">
        <v>0.451094</v>
      </c>
      <c r="H47" s="12" t="n">
        <v>0.867312</v>
      </c>
      <c r="I47" s="12" t="n">
        <v>0.8393465983</v>
      </c>
      <c r="J47" s="12" t="n">
        <v>2.7965</v>
      </c>
      <c r="K47" s="28" t="n">
        <v>0.819347</v>
      </c>
      <c r="L47" s="12" t="n">
        <v>0.950493</v>
      </c>
      <c r="M47" s="12" t="n">
        <v>0.8393465983</v>
      </c>
      <c r="N47" s="12" t="n">
        <v>11.1146</v>
      </c>
      <c r="O47" s="12" t="n">
        <v>0.850347</v>
      </c>
      <c r="P47" s="4"/>
    </row>
    <row r="48" customFormat="false" ht="13.5" hidden="false" customHeight="true" outlineLevel="0" collapsed="false">
      <c r="B48" s="7" t="s">
        <v>18</v>
      </c>
      <c r="C48" s="26" t="n">
        <v>120</v>
      </c>
      <c r="D48" s="27" t="n">
        <v>120</v>
      </c>
      <c r="E48" s="27" t="n">
        <v>120</v>
      </c>
      <c r="F48" s="12" t="n">
        <v>0.918298</v>
      </c>
      <c r="G48" s="12" t="n">
        <v>0.081702</v>
      </c>
      <c r="H48" s="12" t="n">
        <v>0.744074</v>
      </c>
      <c r="I48" s="12" t="n">
        <v>0.777447231</v>
      </c>
      <c r="J48" s="12" t="n">
        <v>-3.3373</v>
      </c>
      <c r="K48" s="28" t="n">
        <v>0.757447</v>
      </c>
      <c r="L48" s="12" t="n">
        <v>0.725828</v>
      </c>
      <c r="M48" s="12" t="n">
        <v>0.777447231</v>
      </c>
      <c r="N48" s="12" t="n">
        <v>-5.1619</v>
      </c>
      <c r="O48" s="12" t="n">
        <v>0.788447</v>
      </c>
      <c r="P48" s="4"/>
    </row>
    <row r="49" customFormat="false" ht="13.5" hidden="false" customHeight="true" outlineLevel="0" collapsed="false">
      <c r="B49" s="7" t="s">
        <v>13</v>
      </c>
      <c r="C49" s="26" t="n">
        <v>85.3204568</v>
      </c>
      <c r="D49" s="27" t="n">
        <v>97.34</v>
      </c>
      <c r="E49" s="27" t="n">
        <v>0</v>
      </c>
      <c r="F49" s="12" t="n">
        <v>0.87652</v>
      </c>
      <c r="G49" s="12" t="n">
        <v>0.12348</v>
      </c>
      <c r="H49" s="12" t="n">
        <v>0.810591</v>
      </c>
      <c r="I49" s="12" t="n">
        <v>0.8296242895</v>
      </c>
      <c r="J49" s="12" t="n">
        <v>-1.9033</v>
      </c>
      <c r="K49" s="28" t="n">
        <v>0.809624</v>
      </c>
      <c r="L49" s="12" t="n">
        <v>0.870032</v>
      </c>
      <c r="M49" s="12" t="n">
        <v>0.8296242895</v>
      </c>
      <c r="N49" s="12" t="n">
        <v>4.0408</v>
      </c>
      <c r="O49" s="12" t="n">
        <v>0.840624</v>
      </c>
      <c r="P49" s="4"/>
    </row>
    <row r="50" customFormat="false" ht="13.5" hidden="false" customHeight="true" outlineLevel="0" collapsed="false">
      <c r="B50" s="7" t="s">
        <v>14</v>
      </c>
      <c r="C50" s="26" t="n">
        <v>0</v>
      </c>
      <c r="D50" s="27" t="n">
        <v>0</v>
      </c>
      <c r="E50" s="27" t="n">
        <v>0</v>
      </c>
      <c r="F50" s="12" t="n">
        <v>0.818689</v>
      </c>
      <c r="G50" s="12" t="n">
        <v>0.181311</v>
      </c>
      <c r="H50" s="12" t="n">
        <v>0.887928</v>
      </c>
      <c r="I50" s="12" t="n">
        <v>0.8344423592</v>
      </c>
      <c r="J50" s="12" t="n">
        <v>5.3486</v>
      </c>
      <c r="K50" s="28" t="n">
        <v>0.814442</v>
      </c>
      <c r="L50" s="12" t="n">
        <v>0.885792</v>
      </c>
      <c r="M50" s="12" t="n">
        <v>0.8344423592</v>
      </c>
      <c r="N50" s="12" t="n">
        <v>5.135</v>
      </c>
      <c r="O50" s="12" t="n">
        <v>0.845442</v>
      </c>
      <c r="P50" s="4"/>
    </row>
    <row r="51" customFormat="false" ht="13.5" hidden="false" customHeight="true" outlineLevel="0" collapsed="false">
      <c r="B51" s="7" t="s">
        <v>15</v>
      </c>
      <c r="C51" s="26" t="n">
        <v>120</v>
      </c>
      <c r="D51" s="27" t="n">
        <v>120</v>
      </c>
      <c r="E51" s="27" t="s">
        <v>86</v>
      </c>
      <c r="F51" s="12" t="n">
        <v>1</v>
      </c>
      <c r="G51" s="12" t="n">
        <v>0</v>
      </c>
      <c r="H51" s="12" t="n">
        <v>0.733507</v>
      </c>
      <c r="I51" s="12" t="n">
        <v>0.8567400971</v>
      </c>
      <c r="J51" s="12" t="n">
        <v>-12.3233</v>
      </c>
      <c r="K51" s="28" t="n">
        <v>0.83674</v>
      </c>
      <c r="L51" s="12" t="s">
        <v>86</v>
      </c>
      <c r="M51" s="12" t="n">
        <v>0.8567400971</v>
      </c>
      <c r="N51" s="12" t="s">
        <v>86</v>
      </c>
      <c r="O51" s="12" t="n">
        <v>0.86774</v>
      </c>
      <c r="P51" s="4"/>
    </row>
    <row r="52" customFormat="false" ht="13.5" hidden="false" customHeight="true" outlineLevel="0" collapsed="false">
      <c r="B52" s="7" t="s">
        <v>19</v>
      </c>
      <c r="C52" s="29" t="n">
        <v>60.00589491</v>
      </c>
      <c r="D52" s="30" t="n">
        <v>68.73</v>
      </c>
      <c r="E52" s="30" t="n">
        <v>0</v>
      </c>
      <c r="F52" s="12" t="n">
        <v>0.873067</v>
      </c>
      <c r="G52" s="12" t="n">
        <v>0.126933</v>
      </c>
      <c r="H52" s="12" t="n">
        <v>0.819409</v>
      </c>
      <c r="I52" s="12" t="n">
        <v>0.8243722094</v>
      </c>
      <c r="J52" s="12" t="n">
        <v>-0.4963</v>
      </c>
      <c r="K52" s="28" t="n">
        <v>0.804372</v>
      </c>
      <c r="L52" s="12" t="n">
        <v>0.866168</v>
      </c>
      <c r="M52" s="12" t="n">
        <v>0.8243722094</v>
      </c>
      <c r="N52" s="12" t="n">
        <v>4.1796</v>
      </c>
      <c r="O52" s="12" t="n">
        <v>0.835372</v>
      </c>
      <c r="P52" s="4"/>
    </row>
    <row r="54" customFormat="false" ht="13.5" hidden="false" customHeight="true" outlineLevel="0" collapsed="false">
      <c r="B54" s="2" t="s">
        <v>87</v>
      </c>
    </row>
    <row r="55" customFormat="false" ht="13.5" hidden="false" customHeight="true" outlineLevel="0" collapsed="false">
      <c r="B55" s="21" t="s">
        <v>4</v>
      </c>
      <c r="C55" s="31" t="s">
        <v>21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2" t="s">
        <v>22</v>
      </c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1" t="s">
        <v>23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2" t="s">
        <v>24</v>
      </c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1" t="s">
        <v>25</v>
      </c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2" t="s">
        <v>26</v>
      </c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1" t="s">
        <v>27</v>
      </c>
      <c r="BR55" s="31"/>
      <c r="BS55" s="31"/>
      <c r="BT55" s="31"/>
      <c r="BU55" s="31"/>
      <c r="BV55" s="31"/>
      <c r="BW55" s="31"/>
      <c r="BX55" s="31"/>
      <c r="BY55" s="31"/>
      <c r="BZ55" s="31"/>
      <c r="CA55" s="31"/>
    </row>
    <row r="56" s="33" customFormat="true" ht="27" hidden="false" customHeight="true" outlineLevel="0" collapsed="false">
      <c r="B56" s="21"/>
      <c r="C56" s="34" t="s">
        <v>77</v>
      </c>
      <c r="D56" s="34" t="s">
        <v>78</v>
      </c>
      <c r="E56" s="21" t="s">
        <v>79</v>
      </c>
      <c r="F56" s="34" t="s">
        <v>80</v>
      </c>
      <c r="G56" s="34" t="s">
        <v>81</v>
      </c>
      <c r="H56" s="34" t="s">
        <v>88</v>
      </c>
      <c r="I56" s="34" t="s">
        <v>89</v>
      </c>
      <c r="J56" s="34" t="s">
        <v>90</v>
      </c>
      <c r="K56" s="34" t="s">
        <v>91</v>
      </c>
      <c r="L56" s="34" t="s">
        <v>92</v>
      </c>
      <c r="M56" s="34" t="s">
        <v>93</v>
      </c>
      <c r="N56" s="35" t="s">
        <v>77</v>
      </c>
      <c r="O56" s="35" t="s">
        <v>88</v>
      </c>
      <c r="P56" s="35" t="s">
        <v>83</v>
      </c>
      <c r="Q56" s="35" t="s">
        <v>90</v>
      </c>
      <c r="R56" s="35" t="s">
        <v>91</v>
      </c>
      <c r="S56" s="35" t="s">
        <v>83</v>
      </c>
      <c r="T56" s="35" t="s">
        <v>93</v>
      </c>
      <c r="U56" s="35" t="s">
        <v>94</v>
      </c>
      <c r="V56" s="35" t="s">
        <v>95</v>
      </c>
      <c r="W56" s="35" t="s">
        <v>80</v>
      </c>
      <c r="X56" s="35" t="s">
        <v>81</v>
      </c>
      <c r="Y56" s="34" t="s">
        <v>77</v>
      </c>
      <c r="Z56" s="34" t="s">
        <v>88</v>
      </c>
      <c r="AA56" s="34" t="s">
        <v>83</v>
      </c>
      <c r="AB56" s="34" t="s">
        <v>90</v>
      </c>
      <c r="AC56" s="34" t="s">
        <v>91</v>
      </c>
      <c r="AD56" s="34" t="s">
        <v>83</v>
      </c>
      <c r="AE56" s="34" t="s">
        <v>93</v>
      </c>
      <c r="AF56" s="34" t="s">
        <v>94</v>
      </c>
      <c r="AG56" s="34" t="s">
        <v>95</v>
      </c>
      <c r="AH56" s="34" t="s">
        <v>80</v>
      </c>
      <c r="AI56" s="34" t="s">
        <v>81</v>
      </c>
      <c r="AJ56" s="35" t="s">
        <v>77</v>
      </c>
      <c r="AK56" s="35" t="s">
        <v>88</v>
      </c>
      <c r="AL56" s="35" t="s">
        <v>83</v>
      </c>
      <c r="AM56" s="35" t="s">
        <v>90</v>
      </c>
      <c r="AN56" s="35" t="s">
        <v>91</v>
      </c>
      <c r="AO56" s="35" t="s">
        <v>83</v>
      </c>
      <c r="AP56" s="35" t="s">
        <v>93</v>
      </c>
      <c r="AQ56" s="35" t="s">
        <v>94</v>
      </c>
      <c r="AR56" s="35" t="s">
        <v>95</v>
      </c>
      <c r="AS56" s="35" t="s">
        <v>80</v>
      </c>
      <c r="AT56" s="35" t="s">
        <v>81</v>
      </c>
      <c r="AU56" s="34" t="s">
        <v>77</v>
      </c>
      <c r="AV56" s="34" t="s">
        <v>88</v>
      </c>
      <c r="AW56" s="34" t="s">
        <v>83</v>
      </c>
      <c r="AX56" s="34" t="s">
        <v>90</v>
      </c>
      <c r="AY56" s="34" t="s">
        <v>91</v>
      </c>
      <c r="AZ56" s="34" t="s">
        <v>83</v>
      </c>
      <c r="BA56" s="34" t="s">
        <v>93</v>
      </c>
      <c r="BB56" s="34" t="s">
        <v>94</v>
      </c>
      <c r="BC56" s="34" t="s">
        <v>95</v>
      </c>
      <c r="BD56" s="34" t="s">
        <v>80</v>
      </c>
      <c r="BE56" s="34" t="s">
        <v>81</v>
      </c>
      <c r="BF56" s="35" t="s">
        <v>77</v>
      </c>
      <c r="BG56" s="35" t="s">
        <v>88</v>
      </c>
      <c r="BH56" s="35" t="s">
        <v>83</v>
      </c>
      <c r="BI56" s="35" t="s">
        <v>90</v>
      </c>
      <c r="BJ56" s="35" t="s">
        <v>91</v>
      </c>
      <c r="BK56" s="35" t="s">
        <v>83</v>
      </c>
      <c r="BL56" s="35" t="s">
        <v>93</v>
      </c>
      <c r="BM56" s="35" t="s">
        <v>94</v>
      </c>
      <c r="BN56" s="35" t="s">
        <v>95</v>
      </c>
      <c r="BO56" s="35" t="s">
        <v>80</v>
      </c>
      <c r="BP56" s="35" t="s">
        <v>81</v>
      </c>
      <c r="BQ56" s="34" t="s">
        <v>77</v>
      </c>
      <c r="BR56" s="34" t="s">
        <v>88</v>
      </c>
      <c r="BS56" s="34" t="s">
        <v>83</v>
      </c>
      <c r="BT56" s="34" t="s">
        <v>90</v>
      </c>
      <c r="BU56" s="34" t="s">
        <v>91</v>
      </c>
      <c r="BV56" s="34" t="s">
        <v>83</v>
      </c>
      <c r="BW56" s="34" t="s">
        <v>93</v>
      </c>
      <c r="BX56" s="34" t="s">
        <v>94</v>
      </c>
      <c r="BY56" s="34" t="s">
        <v>95</v>
      </c>
      <c r="BZ56" s="34" t="s">
        <v>80</v>
      </c>
      <c r="CA56" s="34" t="s">
        <v>81</v>
      </c>
    </row>
    <row r="57" customFormat="false" ht="13.5" hidden="false" customHeight="true" outlineLevel="0" collapsed="false">
      <c r="B57" s="7" t="s">
        <v>16</v>
      </c>
      <c r="C57" s="36" t="n">
        <f aca="false">AVERAGE(C46,N57,Y57,AJ57,AU57,BF57,BQ57)</f>
        <v>68.7422632476492</v>
      </c>
      <c r="D57" s="27" t="n">
        <f aca="false">IF((J57/(-2)*40+60)&gt;120,120,IF(J57&gt;0,0,(J57/(-2)*40+60)))</f>
        <v>0</v>
      </c>
      <c r="E57" s="27" t="n">
        <f aca="false">IFERROR(IF((M57/(-2)*40+60)&gt;120,120,IF(M57&gt;0,0,(M57/(-2)*40+60))),"(NULL)")</f>
        <v>0</v>
      </c>
      <c r="F57" s="12" t="n">
        <f aca="false">SUM(U57,AF57,AQ57,BB57,BM57,BX57)/SUM(U57:V57,AF57:AG57,AQ57:AR57,BB57:BC57,BM57:BN57,BX57:BY57)</f>
        <v>0.747954427857891</v>
      </c>
      <c r="G57" s="12" t="n">
        <f aca="false">1-F57</f>
        <v>0.252045572142109</v>
      </c>
      <c r="H57" s="12" t="n">
        <f aca="false">AVERAGE(H46,O57,Z57,AK57,AV57,BG57,BR57)</f>
        <v>0.7872702920571</v>
      </c>
      <c r="I57" s="12" t="n">
        <f aca="false">AVERAGE(I46-2%,P57-2%,AA57-2%,AL57-2%,AW57-2%,BH57-2%,BS57-2%)</f>
        <v>0.781125845146204</v>
      </c>
      <c r="J57" s="12" t="n">
        <f aca="false">(H57-I57)*100</f>
        <v>0.614444691089677</v>
      </c>
      <c r="K57" s="12" t="n">
        <f aca="false">IFERROR(AVERAGE(L46,R57,AC57,AN57,AY57,BJ57,BU57),"(NULL)")</f>
        <v>0.964203785146473</v>
      </c>
      <c r="L57" s="12" t="n">
        <f aca="false">AVERAGE(M46-2%,S57-2%,AD57-2%,AO57-2%,AZ57-2%,BK57-2%,BV57-2%)</f>
        <v>0.807440130860489</v>
      </c>
      <c r="M57" s="12" t="n">
        <f aca="false">IFERROR(((K57-L57)*100),"(NULL)")</f>
        <v>15.6763654285983</v>
      </c>
      <c r="N57" s="26" t="n">
        <v>71.8851437589701</v>
      </c>
      <c r="O57" s="12" t="n">
        <v>0.789182064401942</v>
      </c>
      <c r="P57" s="12" t="n">
        <v>0.795743216454653</v>
      </c>
      <c r="Q57" s="12" t="n">
        <v>-0.656115205271107</v>
      </c>
      <c r="R57" s="12" t="n">
        <v>1.00200606944312</v>
      </c>
      <c r="S57" s="12" t="n">
        <v>0.826443216454653</v>
      </c>
      <c r="T57" s="12" t="n">
        <v>17.5562852988465</v>
      </c>
      <c r="U57" s="8" t="n">
        <v>5874595.52</v>
      </c>
      <c r="V57" s="8" t="n">
        <v>101103.18</v>
      </c>
      <c r="W57" s="12" t="n">
        <f aca="false">U57/(U57+V57)</f>
        <v>0.983080944158045</v>
      </c>
      <c r="X57" s="12" t="n">
        <f aca="false">1-W57</f>
        <v>0.0169190558419553</v>
      </c>
      <c r="Y57" s="26" t="n">
        <v>0</v>
      </c>
      <c r="Z57" s="12" t="n">
        <v>0.829105564552057</v>
      </c>
      <c r="AA57" s="12" t="n">
        <v>0.778155932890736</v>
      </c>
      <c r="AB57" s="12" t="n">
        <v>5.09496316613216</v>
      </c>
      <c r="AC57" s="12" t="n">
        <v>0.978200506946804</v>
      </c>
      <c r="AD57" s="12" t="n">
        <v>0.808855932890736</v>
      </c>
      <c r="AE57" s="12" t="n">
        <v>16.9344574056068</v>
      </c>
      <c r="AF57" s="8" t="n">
        <v>3014171.46</v>
      </c>
      <c r="AG57" s="8" t="n">
        <v>133252.64</v>
      </c>
      <c r="AH57" s="12" t="n">
        <f aca="false">AF57/(AF57+AG57)</f>
        <v>0.957662953651527</v>
      </c>
      <c r="AI57" s="12" t="n">
        <f aca="false">1-AH57</f>
        <v>0.0423370463484728</v>
      </c>
      <c r="AJ57" s="26" t="n">
        <v>0</v>
      </c>
      <c r="AK57" s="12" t="n">
        <v>0.800914507140593</v>
      </c>
      <c r="AL57" s="12" t="n">
        <v>0.800563456534369</v>
      </c>
      <c r="AM57" s="12" t="n">
        <v>0.0351050606223708</v>
      </c>
      <c r="AN57" s="12" t="n">
        <v>0.999572955510347</v>
      </c>
      <c r="AO57" s="12" t="n">
        <v>0.831263456534369</v>
      </c>
      <c r="AP57" s="12" t="n">
        <v>16.8309498975978</v>
      </c>
      <c r="AQ57" s="8" t="n">
        <v>6718055.8</v>
      </c>
      <c r="AR57" s="8" t="n">
        <v>247187.36</v>
      </c>
      <c r="AS57" s="12" t="n">
        <v>0.964511</v>
      </c>
      <c r="AT57" s="12" t="n">
        <v>0.035489</v>
      </c>
      <c r="AU57" s="26" t="n">
        <v>118.14792</v>
      </c>
      <c r="AV57" s="12" t="n">
        <v>0.752319248866688</v>
      </c>
      <c r="AW57" s="12" t="n">
        <v>0.819315999857275</v>
      </c>
      <c r="AX57" s="12" t="n">
        <v>-6.69967509905875</v>
      </c>
      <c r="AY57" s="12" t="n">
        <v>0.987443204729804</v>
      </c>
      <c r="AZ57" s="12" t="n">
        <v>0.850015999857275</v>
      </c>
      <c r="BA57" s="12" t="n">
        <v>13.7427204872529</v>
      </c>
      <c r="BB57" s="8" t="n">
        <v>10213251.73</v>
      </c>
      <c r="BC57" s="8" t="n">
        <v>160101.36</v>
      </c>
      <c r="BD57" s="12" t="n">
        <v>0.984566</v>
      </c>
      <c r="BE57" s="12" t="n">
        <v>0.015434</v>
      </c>
      <c r="BF57" s="26" t="n">
        <v>68.5775762345744</v>
      </c>
      <c r="BG57" s="12" t="n">
        <v>0.781150659438423</v>
      </c>
      <c r="BH57" s="12" t="n">
        <v>0.786328352686393</v>
      </c>
      <c r="BI57" s="12" t="n">
        <v>-0.517769324797015</v>
      </c>
      <c r="BJ57" s="12" t="n">
        <v>0.893922759395234</v>
      </c>
      <c r="BK57" s="12" t="n">
        <v>0.817028352686393</v>
      </c>
      <c r="BL57" s="12" t="n">
        <v>7.68944067088405</v>
      </c>
      <c r="BM57" s="8" t="n">
        <v>345903.04</v>
      </c>
      <c r="BN57" s="8" t="n">
        <v>13342925.88</v>
      </c>
      <c r="BO57" s="12" t="n">
        <v>0.974731</v>
      </c>
      <c r="BP57" s="12" t="n">
        <v>0.025269</v>
      </c>
      <c r="BQ57" s="26" t="n">
        <v>106.16984274</v>
      </c>
      <c r="BR57" s="12" t="n">
        <v>0.762539</v>
      </c>
      <c r="BS57" s="12" t="n">
        <v>0.78697</v>
      </c>
      <c r="BT57" s="12" t="n">
        <v>-2.4431</v>
      </c>
      <c r="BU57" s="12" t="n">
        <v>0.905986</v>
      </c>
      <c r="BV57" s="12" t="n">
        <v>0.81767</v>
      </c>
      <c r="BW57" s="12" t="n">
        <v>8.83160000000001</v>
      </c>
      <c r="BX57" s="8" t="n">
        <v>16581446.99</v>
      </c>
      <c r="BY57" s="8" t="n">
        <v>420450.36</v>
      </c>
      <c r="BZ57" s="12" t="n">
        <v>0.97527</v>
      </c>
      <c r="CA57" s="12" t="n">
        <v>0.02473</v>
      </c>
    </row>
    <row r="58" customFormat="false" ht="13.5" hidden="false" customHeight="true" outlineLevel="0" collapsed="false">
      <c r="B58" s="7" t="s">
        <v>17</v>
      </c>
      <c r="C58" s="36" t="n">
        <f aca="false">AVERAGE(C47,N58,Y58,AJ58,AU58,BF58,BQ58)</f>
        <v>83.3322080381784</v>
      </c>
      <c r="D58" s="27" t="n">
        <f aca="false">IF((J58/(-2)*40+60)&gt;120,120,IF(J58&gt;0,0,(J58/(-2)*40+60)))</f>
        <v>91.4000733222777</v>
      </c>
      <c r="E58" s="27" t="n">
        <f aca="false">IFERROR(IF((M58/(-2)*40+60)&gt;120,120,IF(M58&gt;0,0,(M58/(-2)*40+60))),"(NULL)")</f>
        <v>85.3170835436223</v>
      </c>
      <c r="F58" s="12" t="n">
        <f aca="false">SUM(U58,AF58,AQ58,BB58,BM58,BX58)/SUM(U58:V58,AF58:AG58,AQ58:AR58,BB58:BC58,BM58:BN58,BX58:BY58)</f>
        <v>0.767818449228323</v>
      </c>
      <c r="G58" s="12" t="n">
        <f aca="false">1-F58</f>
        <v>0.232181550771677</v>
      </c>
      <c r="H58" s="12" t="n">
        <f aca="false">AVERAGE(H47,O58,Z58,AK58,AV58,BG58,BR58)</f>
        <v>0.772170805118334</v>
      </c>
      <c r="I58" s="12" t="n">
        <f aca="false">AVERAGE(I47-2%,P58-2%,AA58-2%,AL58-2%,AW58-2%,BH58-2%,BS58-2%)</f>
        <v>0.787870841779473</v>
      </c>
      <c r="J58" s="12" t="n">
        <f aca="false">(H58-I58)*100</f>
        <v>-1.57000366611388</v>
      </c>
      <c r="K58" s="12" t="n">
        <f aca="false">IFERROR(AVERAGE(L47,R58,AC58,AN58,AY58,BJ58,BU58),"(NULL)")</f>
        <v>0.801526585721948</v>
      </c>
      <c r="L58" s="12" t="n">
        <f aca="false">AVERAGE(M47-2%,S58-2%,AD58-2%,AO58-2%,AZ58-2%,BK58-2%,BV58-2%)</f>
        <v>0.814185127493759</v>
      </c>
      <c r="M58" s="12" t="n">
        <f aca="false">IFERROR(((K58-L58)*100),"(NULL)")</f>
        <v>-1.26585417718111</v>
      </c>
      <c r="N58" s="26" t="n">
        <v>119.335376267249</v>
      </c>
      <c r="O58" s="12" t="n">
        <v>0.757533182182511</v>
      </c>
      <c r="P58" s="12" t="n">
        <v>0.808586731771285</v>
      </c>
      <c r="Q58" s="12" t="n">
        <v>-5.10535495887747</v>
      </c>
      <c r="R58" s="12" t="n">
        <v>0.983624031007752</v>
      </c>
      <c r="S58" s="12" t="n">
        <v>0.839286731771285</v>
      </c>
      <c r="T58" s="12" t="n">
        <v>14.4337299236467</v>
      </c>
      <c r="U58" s="8" t="n">
        <v>259418.59</v>
      </c>
      <c r="V58" s="8" t="n">
        <v>1444.8</v>
      </c>
      <c r="W58" s="12" t="n">
        <f aca="false">U58/(U58+V58)</f>
        <v>0.994461468893738</v>
      </c>
      <c r="X58" s="12" t="n">
        <f aca="false">1-W58</f>
        <v>0.00553853110626212</v>
      </c>
      <c r="Y58" s="26" t="n">
        <v>120</v>
      </c>
      <c r="Z58" s="12" t="n">
        <v>0.751851503688149</v>
      </c>
      <c r="AA58" s="12" t="n">
        <v>0.804089322142807</v>
      </c>
      <c r="AB58" s="12" t="n">
        <v>-5.22378184546585</v>
      </c>
      <c r="AC58" s="12" t="n">
        <v>0.415472779369628</v>
      </c>
      <c r="AD58" s="12" t="n">
        <v>0.834789322142807</v>
      </c>
      <c r="AE58" s="12" t="n">
        <v>-41.931654277318</v>
      </c>
      <c r="AF58" s="8" t="n">
        <v>65954.5</v>
      </c>
      <c r="AG58" s="8" t="n">
        <v>349</v>
      </c>
      <c r="AH58" s="12" t="n">
        <f aca="false">AF58/(AF58+AG58)</f>
        <v>0.994736326136629</v>
      </c>
      <c r="AI58" s="12" t="n">
        <f aca="false">1-AH58</f>
        <v>0.00526367386337068</v>
      </c>
      <c r="AJ58" s="26" t="n">
        <v>120</v>
      </c>
      <c r="AK58" s="12" t="n">
        <v>0.756028275290762</v>
      </c>
      <c r="AL58" s="12" t="n">
        <v>0.791081397757429</v>
      </c>
      <c r="AM58" s="12" t="n">
        <v>-3.50531224666662</v>
      </c>
      <c r="AN58" s="12" t="n">
        <v>0.688860825076096</v>
      </c>
      <c r="AO58" s="12" t="n">
        <v>0.821781397757428</v>
      </c>
      <c r="AP58" s="12" t="n">
        <v>-13.2920572681332</v>
      </c>
      <c r="AQ58" s="8" t="n">
        <v>182038.8</v>
      </c>
      <c r="AR58" s="8" t="n">
        <v>7720.5</v>
      </c>
      <c r="AS58" s="12" t="n">
        <v>0.959314</v>
      </c>
      <c r="AT58" s="12" t="n">
        <v>0.040686</v>
      </c>
      <c r="AU58" s="26" t="n">
        <v>120</v>
      </c>
      <c r="AV58" s="12" t="n">
        <v>0.714780754446448</v>
      </c>
      <c r="AW58" s="12" t="n">
        <v>0.822107469295282</v>
      </c>
      <c r="AX58" s="12" t="n">
        <v>-10.7326714848834</v>
      </c>
      <c r="AY58" s="12" t="n">
        <v>0.741422639703586</v>
      </c>
      <c r="AZ58" s="12" t="n">
        <v>0.852807469295282</v>
      </c>
      <c r="BA58" s="12" t="n">
        <v>-11.1384829591696</v>
      </c>
      <c r="BB58" s="8" t="n">
        <v>16347.88</v>
      </c>
      <c r="BC58" s="8" t="n">
        <v>13958.84</v>
      </c>
      <c r="BD58" s="12" t="n">
        <v>0.539414</v>
      </c>
      <c r="BE58" s="12" t="n">
        <v>0.460586</v>
      </c>
      <c r="BF58" s="26" t="n">
        <v>103.99008</v>
      </c>
      <c r="BG58" s="12" t="n">
        <v>0.70217492022047</v>
      </c>
      <c r="BH58" s="12" t="n">
        <v>0.78244737318951</v>
      </c>
      <c r="BI58" s="12" t="n">
        <v>-8.02724529690401</v>
      </c>
      <c r="BJ58" s="12" t="n">
        <v>0.878104824896572</v>
      </c>
      <c r="BK58" s="12" t="n">
        <v>0.81314737318951</v>
      </c>
      <c r="BL58" s="12" t="n">
        <v>6.49574517070622</v>
      </c>
      <c r="BM58" s="8" t="n">
        <v>18974.5</v>
      </c>
      <c r="BN58" s="8" t="n">
        <v>123245.9</v>
      </c>
      <c r="BO58" s="12" t="n">
        <v>0.866584</v>
      </c>
      <c r="BP58" s="12" t="n">
        <v>0.133416</v>
      </c>
      <c r="BQ58" s="26" t="n">
        <v>0</v>
      </c>
      <c r="BR58" s="12" t="n">
        <v>0.855515</v>
      </c>
      <c r="BS58" s="12" t="n">
        <v>0.807437</v>
      </c>
      <c r="BT58" s="12" t="n">
        <v>4.8078</v>
      </c>
      <c r="BU58" s="12" t="n">
        <v>0.952708</v>
      </c>
      <c r="BV58" s="12" t="n">
        <v>0.838137</v>
      </c>
      <c r="BW58" s="12" t="n">
        <v>11.4571</v>
      </c>
      <c r="BX58" s="8" t="n">
        <v>230547.1</v>
      </c>
      <c r="BY58" s="8" t="n">
        <v>87114.45</v>
      </c>
      <c r="BZ58" s="12" t="n">
        <v>0.725763</v>
      </c>
      <c r="CA58" s="12" t="n">
        <v>0.274237</v>
      </c>
    </row>
    <row r="59" customFormat="false" ht="13.5" hidden="false" customHeight="true" outlineLevel="0" collapsed="false">
      <c r="B59" s="7" t="s">
        <v>18</v>
      </c>
      <c r="C59" s="36" t="n">
        <f aca="false">AVERAGE(C48,N59,Y59,AJ59,AU59,BF59,BQ59)</f>
        <v>118.261367475696</v>
      </c>
      <c r="D59" s="27" t="n">
        <f aca="false">IF((J59/(-2)*40+60)&gt;120,120,IF(J59&gt;0,0,(J59/(-2)*40+60)))</f>
        <v>106.306606184946</v>
      </c>
      <c r="E59" s="27" t="n">
        <f aca="false">IFERROR(IF((M59/(-2)*40+60)&gt;120,120,IF(M59&gt;0,0,(M59/(-2)*40+60))),"(NULL)")</f>
        <v>120</v>
      </c>
      <c r="F59" s="12" t="n">
        <f aca="false">SUM(U59,AF59,AQ59,BB59,BM59,BX59)/SUM(U59:V59,AF59:AG59,AQ59:AR59,BB59:BC59,BM59:BN59,BX59:BY59)</f>
        <v>0.661493773051357</v>
      </c>
      <c r="G59" s="12" t="n">
        <f aca="false">1-F59</f>
        <v>0.338506226948643</v>
      </c>
      <c r="H59" s="12" t="n">
        <f aca="false">AVERAGE(H48,O59,Z59,AK59,AV59,BG59,BR59)</f>
        <v>0.755393170983926</v>
      </c>
      <c r="I59" s="12" t="n">
        <f aca="false">AVERAGE(I48-2%,P59-2%,AA59-2%,AL59-2%,AW59-2%,BH59-2%,BS59-2%)</f>
        <v>0.778546474076399</v>
      </c>
      <c r="J59" s="12" t="n">
        <f aca="false">(H59-I59)*100</f>
        <v>-2.31533030924731</v>
      </c>
      <c r="K59" s="12" t="n">
        <f aca="false">IFERROR(AVERAGE(L48,R59,AC59,AN59,AY59,BJ59,BU59),"(NULL)")</f>
        <v>0.758287388910047</v>
      </c>
      <c r="L59" s="12" t="n">
        <f aca="false">AVERAGE(M48-2%,S59-2%,AD59-2%,AO59-2%,AZ59-2%,BK59-2%,BV59-2%)</f>
        <v>0.804860759790685</v>
      </c>
      <c r="M59" s="12" t="n">
        <f aca="false">IFERROR(((K59-L59)*100),"(NULL)")</f>
        <v>-4.65733708806374</v>
      </c>
      <c r="N59" s="26" t="n">
        <v>120</v>
      </c>
      <c r="O59" s="12" t="n">
        <v>0.779875488708176</v>
      </c>
      <c r="P59" s="12" t="n">
        <v>0.821148048139266</v>
      </c>
      <c r="Q59" s="12" t="n">
        <v>-4.12725594310905</v>
      </c>
      <c r="R59" s="12" t="n">
        <v>0.817754952349074</v>
      </c>
      <c r="S59" s="12" t="n">
        <v>0.851848048139267</v>
      </c>
      <c r="T59" s="12" t="n">
        <v>-3.40930957901925</v>
      </c>
      <c r="U59" s="8" t="n">
        <v>5455574.27</v>
      </c>
      <c r="V59" s="8" t="n">
        <v>231714.28</v>
      </c>
      <c r="W59" s="12" t="n">
        <f aca="false">U59/(U59+V59)</f>
        <v>0.959257512967229</v>
      </c>
      <c r="X59" s="12" t="n">
        <f aca="false">1-W59</f>
        <v>0.0407424870327707</v>
      </c>
      <c r="Y59" s="26" t="n">
        <v>107.829572329872</v>
      </c>
      <c r="Z59" s="12" t="n">
        <v>0.77998165020263</v>
      </c>
      <c r="AA59" s="12" t="n">
        <v>0.803066629536668</v>
      </c>
      <c r="AB59" s="12" t="n">
        <v>-2.3084979334038</v>
      </c>
      <c r="AC59" s="12" t="n">
        <v>0.767860071515704</v>
      </c>
      <c r="AD59" s="12" t="n">
        <v>0.833766629536667</v>
      </c>
      <c r="AE59" s="12" t="n">
        <v>-6.59065580209632</v>
      </c>
      <c r="AF59" s="8" t="n">
        <v>1715223.3</v>
      </c>
      <c r="AG59" s="8" t="n">
        <v>233895.48</v>
      </c>
      <c r="AH59" s="12" t="n">
        <f aca="false">AF59/(AF59+AG59)</f>
        <v>0.879999370792579</v>
      </c>
      <c r="AI59" s="12" t="n">
        <f aca="false">1-AH59</f>
        <v>0.120000629207421</v>
      </c>
      <c r="AJ59" s="26" t="n">
        <v>120</v>
      </c>
      <c r="AK59" s="12" t="n">
        <v>0.721900377407696</v>
      </c>
      <c r="AL59" s="12" t="n">
        <v>0.810387635476678</v>
      </c>
      <c r="AM59" s="12" t="n">
        <v>-8.8487258068982</v>
      </c>
      <c r="AN59" s="12" t="n">
        <v>0.757075459551796</v>
      </c>
      <c r="AO59" s="12" t="n">
        <v>0.841087635476677</v>
      </c>
      <c r="AP59" s="12" t="n">
        <v>-8.40121759248814</v>
      </c>
      <c r="AQ59" s="8" t="n">
        <v>3985162.51</v>
      </c>
      <c r="AR59" s="8" t="n">
        <v>252425.3</v>
      </c>
      <c r="AS59" s="12" t="n">
        <v>0.940432</v>
      </c>
      <c r="AT59" s="12" t="n">
        <v>0.059568</v>
      </c>
      <c r="AU59" s="26" t="n">
        <v>120</v>
      </c>
      <c r="AV59" s="12" t="n">
        <v>0.76332606164045</v>
      </c>
      <c r="AW59" s="12" t="n">
        <v>0.810196047812591</v>
      </c>
      <c r="AX59" s="12" t="n">
        <v>-4.68699861721402</v>
      </c>
      <c r="AY59" s="12" t="n">
        <v>0.777740754237188</v>
      </c>
      <c r="AZ59" s="12" t="n">
        <v>0.840896047812591</v>
      </c>
      <c r="BA59" s="12" t="n">
        <v>-6.31552935754031</v>
      </c>
      <c r="BB59" s="8" t="n">
        <v>6869317.43</v>
      </c>
      <c r="BC59" s="8" t="n">
        <v>201973.6</v>
      </c>
      <c r="BD59" s="12" t="n">
        <v>0.971438</v>
      </c>
      <c r="BE59" s="12" t="n">
        <v>0.028562</v>
      </c>
      <c r="BF59" s="26" t="n">
        <v>120</v>
      </c>
      <c r="BG59" s="12" t="n">
        <v>0.745060618928531</v>
      </c>
      <c r="BH59" s="12" t="n">
        <v>0.779585726569593</v>
      </c>
      <c r="BI59" s="12" t="n">
        <v>-3.45251076410612</v>
      </c>
      <c r="BJ59" s="12" t="n">
        <v>0.69722748471657</v>
      </c>
      <c r="BK59" s="12" t="n">
        <v>0.810285726569592</v>
      </c>
      <c r="BL59" s="12" t="n">
        <v>-11.3058241853023</v>
      </c>
      <c r="BM59" s="8" t="n">
        <v>5445542.93</v>
      </c>
      <c r="BN59" s="8" t="n">
        <v>24083324.06</v>
      </c>
      <c r="BO59" s="12" t="n">
        <v>0.815586</v>
      </c>
      <c r="BP59" s="12" t="n">
        <v>0.184414</v>
      </c>
      <c r="BQ59" s="26" t="n">
        <v>120</v>
      </c>
      <c r="BR59" s="12" t="n">
        <v>0.753534</v>
      </c>
      <c r="BS59" s="12" t="n">
        <v>0.787994</v>
      </c>
      <c r="BT59" s="12" t="n">
        <v>-3.446</v>
      </c>
      <c r="BU59" s="12" t="n">
        <v>0.764525</v>
      </c>
      <c r="BV59" s="12" t="n">
        <v>0.818694</v>
      </c>
      <c r="BW59" s="12" t="n">
        <v>-5.4169</v>
      </c>
      <c r="BX59" s="8" t="n">
        <v>29657209.14</v>
      </c>
      <c r="BY59" s="8" t="n">
        <v>2183875.34</v>
      </c>
      <c r="BZ59" s="12" t="n">
        <v>0.931413</v>
      </c>
      <c r="CA59" s="12" t="n">
        <v>0.068587</v>
      </c>
    </row>
    <row r="60" customFormat="false" ht="13.5" hidden="false" customHeight="true" outlineLevel="0" collapsed="false">
      <c r="B60" s="7" t="s">
        <v>13</v>
      </c>
      <c r="C60" s="36" t="n">
        <f aca="false">AVERAGE(C49,N60,Y60,AJ60,AU60,BF60,BQ60)</f>
        <v>66.6790623357755</v>
      </c>
      <c r="D60" s="27" t="n">
        <f aca="false">IF((J60/(-2)*40+60)&gt;120,120,IF(J60&gt;0,0,(J60/(-2)*40+60)))</f>
        <v>0</v>
      </c>
      <c r="E60" s="27" t="n">
        <f aca="false">IFERROR(IF((M60/(-2)*40+60)&gt;120,120,IF(M60&gt;0,0,(M60/(-2)*40+60))),"(NULL)")</f>
        <v>0</v>
      </c>
      <c r="F60" s="12" t="n">
        <f aca="false">SUM(U60,AF60,AQ60,BB60,BM60,BX60)/SUM(U60:V60,AF60:AG60,AQ60:AR60,BB60:BC60,BM60:BN60,BX60:BY60)</f>
        <v>0.696553096253862</v>
      </c>
      <c r="G60" s="12" t="n">
        <f aca="false">1-F60</f>
        <v>0.303446903746138</v>
      </c>
      <c r="H60" s="12" t="n">
        <f aca="false">AVERAGE(H49,O60,Z60,AK60,AV60,BG60,BR60)</f>
        <v>0.827983938101596</v>
      </c>
      <c r="I60" s="12" t="n">
        <f aca="false">AVERAGE(I49-2%,P60-2%,AA60-2%,AL60-2%,AW60-2%,BH60-2%,BS60-2%)</f>
        <v>0.817813027188365</v>
      </c>
      <c r="J60" s="12" t="n">
        <f aca="false">(H60-I60)*100</f>
        <v>1.01709109132309</v>
      </c>
      <c r="K60" s="12" t="n">
        <f aca="false">IFERROR(AVERAGE(L49,R60,AC60,AN60,AY60,BJ60,BU60),"(NULL)")</f>
        <v>0.891624376223161</v>
      </c>
      <c r="L60" s="12" t="n">
        <f aca="false">AVERAGE(M49-2%,S60-2%,AD60-2%,AO60-2%,AZ60-2%,BK60-2%,BV60-2%)</f>
        <v>0.844127312902651</v>
      </c>
      <c r="M60" s="12" t="n">
        <f aca="false">IFERROR(((K60-L60)*100),"(NULL)")</f>
        <v>4.74970633205101</v>
      </c>
      <c r="N60" s="26" t="n">
        <v>0</v>
      </c>
      <c r="O60" s="12" t="n">
        <v>0.837261771128514</v>
      </c>
      <c r="P60" s="12" t="n">
        <v>0.835339133924809</v>
      </c>
      <c r="Q60" s="12" t="n">
        <v>0.192263720370505</v>
      </c>
      <c r="R60" s="12" t="n">
        <v>0.932461533291726</v>
      </c>
      <c r="S60" s="12" t="n">
        <v>0.866039133924809</v>
      </c>
      <c r="T60" s="12" t="n">
        <v>6.64223993669171</v>
      </c>
      <c r="U60" s="8" t="n">
        <v>73902856.59</v>
      </c>
      <c r="V60" s="8" t="n">
        <v>3118696.8</v>
      </c>
      <c r="W60" s="12" t="n">
        <f aca="false">U60/(U60+V60)</f>
        <v>0.959508778222007</v>
      </c>
      <c r="X60" s="12" t="n">
        <f aca="false">1-W60</f>
        <v>0.0404912217779927</v>
      </c>
      <c r="Y60" s="26" t="n">
        <v>59.0550229786188</v>
      </c>
      <c r="Z60" s="12" t="n">
        <v>0.816701503395077</v>
      </c>
      <c r="AA60" s="12" t="n">
        <v>0.818758610244084</v>
      </c>
      <c r="AB60" s="12" t="n">
        <v>-0.205710684900737</v>
      </c>
      <c r="AC60" s="12" t="n">
        <v>0.921930987486225</v>
      </c>
      <c r="AD60" s="12" t="n">
        <v>0.849458610244084</v>
      </c>
      <c r="AE60" s="12" t="n">
        <v>7.24723772421407</v>
      </c>
      <c r="AF60" s="8" t="n">
        <v>29620830.67</v>
      </c>
      <c r="AG60" s="8" t="n">
        <v>2537589.93</v>
      </c>
      <c r="AH60" s="12" t="n">
        <f aca="false">AF60/(AF60+AG60)</f>
        <v>0.921090965207415</v>
      </c>
      <c r="AI60" s="12" t="n">
        <f aca="false">1-AH60</f>
        <v>0.0789090347925855</v>
      </c>
      <c r="AJ60" s="26" t="n">
        <v>81.7471338366514</v>
      </c>
      <c r="AK60" s="12" t="n">
        <v>0.821495825043036</v>
      </c>
      <c r="AL60" s="12" t="n">
        <v>0.836624408765845</v>
      </c>
      <c r="AM60" s="12" t="n">
        <v>-1.5128583722809</v>
      </c>
      <c r="AN60" s="12" t="n">
        <v>0.893013482852769</v>
      </c>
      <c r="AO60" s="12" t="n">
        <v>0.867324408765845</v>
      </c>
      <c r="AP60" s="12" t="n">
        <v>2.56890740869242</v>
      </c>
      <c r="AQ60" s="8" t="n">
        <v>61447058.55</v>
      </c>
      <c r="AR60" s="8" t="n">
        <v>6396756.79</v>
      </c>
      <c r="AS60" s="12" t="n">
        <v>0.905713</v>
      </c>
      <c r="AT60" s="12" t="n">
        <v>0.094287</v>
      </c>
      <c r="AU60" s="26" t="n">
        <v>83.93524246523</v>
      </c>
      <c r="AV60" s="12" t="n">
        <v>0.855045374445938</v>
      </c>
      <c r="AW60" s="12" t="n">
        <v>0.86548804825484</v>
      </c>
      <c r="AX60" s="12" t="n">
        <v>-1.04426738089019</v>
      </c>
      <c r="AY60" s="12" t="n">
        <v>0.870915871725841</v>
      </c>
      <c r="AZ60" s="12" t="n">
        <v>0.89618804825484</v>
      </c>
      <c r="BA60" s="12" t="n">
        <v>-2.52721765289995</v>
      </c>
      <c r="BB60" s="8" t="n">
        <v>100215495.88</v>
      </c>
      <c r="BC60" s="8" t="n">
        <v>11486511.16</v>
      </c>
      <c r="BD60" s="12" t="n">
        <v>0.897168</v>
      </c>
      <c r="BE60" s="12" t="n">
        <v>0.102832</v>
      </c>
      <c r="BF60" s="26" t="n">
        <v>65.0192191499285</v>
      </c>
      <c r="BG60" s="12" t="n">
        <v>0.853182092698611</v>
      </c>
      <c r="BH60" s="12" t="n">
        <v>0.855686699628981</v>
      </c>
      <c r="BI60" s="12" t="n">
        <v>-0.250460693036985</v>
      </c>
      <c r="BJ60" s="12" t="n">
        <v>0.883831758205569</v>
      </c>
      <c r="BK60" s="12" t="n">
        <v>0.88638669962898</v>
      </c>
      <c r="BL60" s="12" t="n">
        <v>-0.255494142341135</v>
      </c>
      <c r="BM60" s="8" t="n">
        <v>14398098.69</v>
      </c>
      <c r="BN60" s="8" t="n">
        <v>130469117.44</v>
      </c>
      <c r="BO60" s="12" t="n">
        <v>0.900612</v>
      </c>
      <c r="BP60" s="12" t="n">
        <v>0.099388</v>
      </c>
      <c r="BQ60" s="26" t="n">
        <v>91.67636112</v>
      </c>
      <c r="BR60" s="12" t="n">
        <v>0.80161</v>
      </c>
      <c r="BS60" s="12" t="n">
        <v>0.82317</v>
      </c>
      <c r="BT60" s="12" t="n">
        <v>-2.156</v>
      </c>
      <c r="BU60" s="12" t="n">
        <v>0.869185</v>
      </c>
      <c r="BV60" s="12" t="n">
        <v>0.85387</v>
      </c>
      <c r="BW60" s="12" t="n">
        <v>1.53150000000001</v>
      </c>
      <c r="BX60" s="8" t="n">
        <v>103632016.12</v>
      </c>
      <c r="BY60" s="8" t="n">
        <v>12935983.6</v>
      </c>
      <c r="BZ60" s="12" t="n">
        <v>0.889026</v>
      </c>
      <c r="CA60" s="12" t="n">
        <v>0.110974</v>
      </c>
    </row>
    <row r="61" customFormat="false" ht="13.5" hidden="false" customHeight="true" outlineLevel="0" collapsed="false">
      <c r="B61" s="7" t="s">
        <v>14</v>
      </c>
      <c r="C61" s="36" t="n">
        <f aca="false">AVERAGE(C50,N61,Y61,AJ61,AU61,BF61,BQ61)</f>
        <v>7.6348595605872</v>
      </c>
      <c r="D61" s="27" t="n">
        <f aca="false">IF((J61/(-2)*40+60)&gt;120,120,IF(J61&gt;0,0,(J61/(-2)*40+60)))</f>
        <v>0</v>
      </c>
      <c r="E61" s="27" t="n">
        <f aca="false">IFERROR(IF((M61/(-2)*40+60)&gt;120,120,IF(M61&gt;0,0,(M61/(-2)*40+60))),"(NULL)")</f>
        <v>0</v>
      </c>
      <c r="F61" s="12" t="n">
        <f aca="false">SUM(U61,AF61,AQ61,BB61,BM61,BX61)/SUM(U61:V61,AF61:AG61,AQ61:AR61,BB61:BC61,BM61:BN61,BX61:BY61)</f>
        <v>0.689738365851436</v>
      </c>
      <c r="G61" s="12" t="n">
        <f aca="false">1-F61</f>
        <v>0.310261634148564</v>
      </c>
      <c r="H61" s="12" t="n">
        <f aca="false">AVERAGE(H50,O61,Z61,AK61,AV61,BG61,BR61)</f>
        <v>0.866965833520992</v>
      </c>
      <c r="I61" s="12" t="n">
        <f aca="false">AVERAGE(I50-2%,P61-2%,AA61-2%,AL61-2%,AW61-2%,BH61-2%,BS61-2%)</f>
        <v>0.793279517733375</v>
      </c>
      <c r="J61" s="12" t="n">
        <f aca="false">(H61-I61)*100</f>
        <v>7.36863157876164</v>
      </c>
      <c r="K61" s="12" t="n">
        <f aca="false">IFERROR(AVERAGE(L50,R61,AC61,AN61,AY61,BJ61,BU61),"(NULL)")</f>
        <v>0.828169498275464</v>
      </c>
      <c r="L61" s="12" t="n">
        <f aca="false">AVERAGE(M50-2%,S61-2%,AD61-2%,AO61-2%,AZ61-2%,BK61-2%,BV61-2%)</f>
        <v>0.819593803447661</v>
      </c>
      <c r="M61" s="12" t="n">
        <f aca="false">IFERROR(((K61-L61)*100),"(NULL)")</f>
        <v>0.857569482780285</v>
      </c>
      <c r="N61" s="26" t="n">
        <v>11.4174663533469</v>
      </c>
      <c r="O61" s="12" t="n">
        <v>0.860960575020527</v>
      </c>
      <c r="P61" s="12" t="n">
        <v>0.77877184808392</v>
      </c>
      <c r="Q61" s="12" t="n">
        <v>8.21887269366071</v>
      </c>
      <c r="R61" s="12" t="n">
        <v>0.765342704662388</v>
      </c>
      <c r="S61" s="12" t="n">
        <v>0.80947184808392</v>
      </c>
      <c r="T61" s="12" t="n">
        <v>-4.41291434215323</v>
      </c>
      <c r="U61" s="8" t="n">
        <v>14208536.25</v>
      </c>
      <c r="V61" s="8" t="n">
        <v>1494029.28</v>
      </c>
      <c r="W61" s="12" t="n">
        <f aca="false">U61/(U61+V61)</f>
        <v>0.904854447055442</v>
      </c>
      <c r="X61" s="12" t="n">
        <f aca="false">1-W61</f>
        <v>0.0951455529445575</v>
      </c>
      <c r="Y61" s="26" t="n">
        <v>16.4920171845279</v>
      </c>
      <c r="Z61" s="12" t="n">
        <v>0.844766415637453</v>
      </c>
      <c r="AA61" s="12" t="n">
        <v>0.794460136903112</v>
      </c>
      <c r="AB61" s="12" t="n">
        <v>5.03062787343416</v>
      </c>
      <c r="AC61" s="12" t="n">
        <v>0.774392485073238</v>
      </c>
      <c r="AD61" s="12" t="n">
        <v>0.825160136903111</v>
      </c>
      <c r="AE61" s="12" t="n">
        <v>-5.0767651829874</v>
      </c>
      <c r="AF61" s="8" t="n">
        <v>9577137.68</v>
      </c>
      <c r="AG61" s="8" t="n">
        <v>1525933.7</v>
      </c>
      <c r="AH61" s="12" t="n">
        <f aca="false">AF61/(AF61+AG61)</f>
        <v>0.862566523462268</v>
      </c>
      <c r="AI61" s="12" t="n">
        <f aca="false">1-AH61</f>
        <v>0.137433476537733</v>
      </c>
      <c r="AJ61" s="26" t="n">
        <v>14.2085733862356</v>
      </c>
      <c r="AK61" s="12" t="n">
        <v>0.843049917748894</v>
      </c>
      <c r="AL61" s="12" t="n">
        <v>0.828432975216873</v>
      </c>
      <c r="AM61" s="12" t="n">
        <v>1.46169425320211</v>
      </c>
      <c r="AN61" s="12" t="n">
        <v>0.785878918058785</v>
      </c>
      <c r="AO61" s="12" t="n">
        <v>0.859132975216873</v>
      </c>
      <c r="AP61" s="12" t="n">
        <v>-7.32540571580884</v>
      </c>
      <c r="AQ61" s="8" t="n">
        <v>16751355.35</v>
      </c>
      <c r="AR61" s="8" t="n">
        <v>2249831.29</v>
      </c>
      <c r="AS61" s="12" t="n">
        <v>0.881595</v>
      </c>
      <c r="AT61" s="12" t="n">
        <v>0.118405</v>
      </c>
      <c r="AU61" s="26" t="n">
        <v>11.32596</v>
      </c>
      <c r="AV61" s="12" t="n">
        <v>0.873516743854396</v>
      </c>
      <c r="AW61" s="12" t="n">
        <v>0.822904890570901</v>
      </c>
      <c r="AX61" s="12" t="n">
        <v>5.06118532834955</v>
      </c>
      <c r="AY61" s="12" t="n">
        <v>0.804585979103559</v>
      </c>
      <c r="AZ61" s="12" t="n">
        <v>0.853604890570901</v>
      </c>
      <c r="BA61" s="12" t="n">
        <v>-4.90189114673417</v>
      </c>
      <c r="BB61" s="8" t="n">
        <v>20878275.2</v>
      </c>
      <c r="BC61" s="8" t="n">
        <v>2175927.49</v>
      </c>
      <c r="BD61" s="12" t="n">
        <v>0.905617</v>
      </c>
      <c r="BE61" s="12" t="n">
        <v>0.094383</v>
      </c>
      <c r="BF61" s="26" t="n">
        <v>0</v>
      </c>
      <c r="BG61" s="12" t="n">
        <v>0.884567182385672</v>
      </c>
      <c r="BH61" s="12" t="n">
        <v>0.821575414158823</v>
      </c>
      <c r="BI61" s="12" t="n">
        <v>6.29917682268484</v>
      </c>
      <c r="BJ61" s="12" t="n">
        <v>0.897049401030278</v>
      </c>
      <c r="BK61" s="12" t="n">
        <v>0.852275414158823</v>
      </c>
      <c r="BL61" s="12" t="n">
        <v>4.47739868714552</v>
      </c>
      <c r="BM61" s="8" t="n">
        <v>9574111.66</v>
      </c>
      <c r="BN61" s="8" t="n">
        <v>36025479.98</v>
      </c>
      <c r="BO61" s="12" t="n">
        <v>0.79004</v>
      </c>
      <c r="BP61" s="12" t="n">
        <v>0.20996</v>
      </c>
      <c r="BQ61" s="26" t="n">
        <v>0</v>
      </c>
      <c r="BR61" s="12" t="n">
        <v>0.873972</v>
      </c>
      <c r="BS61" s="12" t="n">
        <v>0.812369</v>
      </c>
      <c r="BT61" s="12" t="n">
        <v>6.1603</v>
      </c>
      <c r="BU61" s="12" t="n">
        <v>0.884145</v>
      </c>
      <c r="BV61" s="12" t="n">
        <v>0.843069</v>
      </c>
      <c r="BW61" s="12" t="n">
        <v>4.10760000000001</v>
      </c>
      <c r="BX61" s="8" t="n">
        <v>44859476.11</v>
      </c>
      <c r="BY61" s="8" t="n">
        <v>8640538.6</v>
      </c>
      <c r="BZ61" s="12" t="n">
        <v>0.838495</v>
      </c>
      <c r="CA61" s="12" t="n">
        <v>0.161505</v>
      </c>
    </row>
    <row r="62" customFormat="false" ht="13.5" hidden="false" customHeight="true" outlineLevel="0" collapsed="false">
      <c r="B62" s="7" t="s">
        <v>15</v>
      </c>
      <c r="C62" s="36" t="n">
        <f aca="false">AVERAGE(C51,N62,Y62,AJ62,AU62,BF62,BQ62)</f>
        <v>89.7086207621484</v>
      </c>
      <c r="D62" s="27" t="n">
        <f aca="false">IF((J62/(-2)*40+60)&gt;120,120,IF(J62&gt;0,0,(J62/(-2)*40+60)))</f>
        <v>120</v>
      </c>
      <c r="E62" s="27" t="str">
        <f aca="false">IFERROR(IF((M62/(-2)*40+60)&gt;120,120,IF(M62&gt;0,0,(M62/(-2)*40+60))),"(NULL)")</f>
        <v>(NULL)</v>
      </c>
      <c r="F62" s="12" t="n">
        <f aca="false">SUM(U62,AF62,AQ62,BB62,BM62,BX62)/SUM(U62:V62,AF62:AG62,AQ62:AR62,BB62:BC62,BM62:BN62,BX62:BY62)</f>
        <v>0.828768665045073</v>
      </c>
      <c r="G62" s="12" t="n">
        <f aca="false">1-F62</f>
        <v>0.171231334954926</v>
      </c>
      <c r="H62" s="12" t="n">
        <f aca="false">AVERAGE(H51,O62,Z62,AK62,AV62,BG62,BR62)</f>
        <v>0.773913812727808</v>
      </c>
      <c r="I62" s="12" t="n">
        <f aca="false">AVERAGE(I51-2%,P62-2%,AA62-2%,AL62-2%,AW62-2%,BH62-2%,BS62-2%)</f>
        <v>0.811019241962196</v>
      </c>
      <c r="J62" s="12" t="n">
        <f aca="false">(H62-I62)*100</f>
        <v>-3.71054292343883</v>
      </c>
      <c r="K62" s="12" t="str">
        <f aca="false">IFERROR(AVERAGE(L51,R62,AC62,AN62,AY62,BJ62,BU62),"(NULL)")</f>
        <v>(NULL)</v>
      </c>
      <c r="L62" s="12" t="n">
        <f aca="false">AVERAGE(M51-2%,S62-2%,AD62-2%,AO62-2%,AZ62-2%,BK62-2%,BV62-2%)</f>
        <v>0.837333527676482</v>
      </c>
      <c r="M62" s="12" t="str">
        <f aca="false">IFERROR(((K62-L62)*100),"(NULL)")</f>
        <v>(NULL)</v>
      </c>
      <c r="N62" s="26" t="n">
        <v>61.801667164079</v>
      </c>
      <c r="O62" s="12" t="n">
        <v>0.799659026782272</v>
      </c>
      <c r="P62" s="12" t="n">
        <v>0.799059860364312</v>
      </c>
      <c r="Q62" s="12" t="n">
        <v>0.0599166417960504</v>
      </c>
      <c r="R62" s="12" t="s">
        <v>86</v>
      </c>
      <c r="S62" s="12" t="n">
        <v>0.829759860364312</v>
      </c>
      <c r="T62" s="12" t="s">
        <v>86</v>
      </c>
      <c r="U62" s="8" t="n">
        <v>1634492.01</v>
      </c>
      <c r="V62" s="8" t="n">
        <v>0</v>
      </c>
      <c r="W62" s="12" t="n">
        <f aca="false">U62/(U62+V62)</f>
        <v>1</v>
      </c>
      <c r="X62" s="12" t="n">
        <f aca="false">1-W62</f>
        <v>0</v>
      </c>
      <c r="Y62" s="26" t="n">
        <v>0</v>
      </c>
      <c r="Z62" s="12" t="n">
        <v>0.778905159159541</v>
      </c>
      <c r="AA62" s="12" t="n">
        <v>0.768405894070372</v>
      </c>
      <c r="AB62" s="12" t="n">
        <v>1.04992650891688</v>
      </c>
      <c r="AC62" s="12" t="s">
        <v>86</v>
      </c>
      <c r="AD62" s="12" t="n">
        <v>0.799105894070372</v>
      </c>
      <c r="AE62" s="12" t="s">
        <v>86</v>
      </c>
      <c r="AF62" s="8" t="n">
        <v>944075.67</v>
      </c>
      <c r="AG62" s="8" t="n">
        <v>0</v>
      </c>
      <c r="AH62" s="12" t="n">
        <f aca="false">AF62/(AF62+AG62)</f>
        <v>1</v>
      </c>
      <c r="AI62" s="12" t="n">
        <f aca="false">1-AH62</f>
        <v>0</v>
      </c>
      <c r="AJ62" s="26" t="n">
        <v>86.1586781709596</v>
      </c>
      <c r="AK62" s="12" t="n">
        <v>0.783787755622142</v>
      </c>
      <c r="AL62" s="12" t="n">
        <v>0.796867094707622</v>
      </c>
      <c r="AM62" s="12" t="n">
        <v>-1.30793390854798</v>
      </c>
      <c r="AN62" s="12" t="s">
        <v>86</v>
      </c>
      <c r="AO62" s="12" t="n">
        <v>0.827567094707622</v>
      </c>
      <c r="AP62" s="12" t="s">
        <v>86</v>
      </c>
      <c r="AQ62" s="8" t="n">
        <v>1373045.18</v>
      </c>
      <c r="AR62" s="8" t="n">
        <v>0</v>
      </c>
      <c r="AS62" s="12" t="n">
        <v>1</v>
      </c>
      <c r="AT62" s="12" t="n">
        <v>0</v>
      </c>
      <c r="AU62" s="26" t="n">
        <v>120</v>
      </c>
      <c r="AV62" s="12" t="n">
        <v>0.785775857557434</v>
      </c>
      <c r="AW62" s="12" t="n">
        <v>0.870246841465781</v>
      </c>
      <c r="AX62" s="12" t="n">
        <v>-8.44709839083468</v>
      </c>
      <c r="AY62" s="12" t="s">
        <v>86</v>
      </c>
      <c r="AZ62" s="12" t="n">
        <v>0.900946841465781</v>
      </c>
      <c r="BA62" s="12" t="s">
        <v>86</v>
      </c>
      <c r="BB62" s="8" t="n">
        <v>1781832.55</v>
      </c>
      <c r="BC62" s="8" t="n">
        <v>0</v>
      </c>
      <c r="BD62" s="12" t="n">
        <v>1</v>
      </c>
      <c r="BE62" s="12" t="n">
        <v>0</v>
      </c>
      <c r="BF62" s="26" t="n">
        <v>120</v>
      </c>
      <c r="BG62" s="12" t="n">
        <v>0.763919889973266</v>
      </c>
      <c r="BH62" s="12" t="n">
        <v>0.865177906027287</v>
      </c>
      <c r="BI62" s="12" t="n">
        <v>-10.1258016054021</v>
      </c>
      <c r="BJ62" s="12" t="s">
        <v>86</v>
      </c>
      <c r="BK62" s="12" t="n">
        <v>0.895877906027287</v>
      </c>
      <c r="BL62" s="12" t="s">
        <v>86</v>
      </c>
      <c r="BM62" s="8" t="n">
        <v>0</v>
      </c>
      <c r="BN62" s="8" t="n">
        <v>1256618.23</v>
      </c>
      <c r="BO62" s="12" t="n">
        <v>1</v>
      </c>
      <c r="BP62" s="12" t="n">
        <v>0</v>
      </c>
      <c r="BQ62" s="26" t="n">
        <v>120</v>
      </c>
      <c r="BR62" s="12" t="n">
        <v>0.771842</v>
      </c>
      <c r="BS62" s="12" t="n">
        <v>0.860637</v>
      </c>
      <c r="BT62" s="12" t="n">
        <v>-8.8795</v>
      </c>
      <c r="BU62" s="12" t="s">
        <v>86</v>
      </c>
      <c r="BV62" s="12" t="n">
        <v>0.891337</v>
      </c>
      <c r="BW62" s="12" t="s">
        <v>86</v>
      </c>
      <c r="BX62" s="8" t="n">
        <v>348652.9</v>
      </c>
      <c r="BY62" s="8" t="n">
        <v>0</v>
      </c>
      <c r="BZ62" s="12" t="n">
        <v>1</v>
      </c>
      <c r="CA62" s="12" t="n">
        <v>0</v>
      </c>
    </row>
    <row r="63" customFormat="false" ht="13.5" hidden="false" customHeight="true" outlineLevel="0" collapsed="false">
      <c r="B63" s="7" t="s">
        <v>19</v>
      </c>
      <c r="C63" s="36" t="n">
        <f aca="false">AVERAGE(C52,N63,Y63,AJ63,AU63,BF63,BQ63)</f>
        <v>41.218474917145</v>
      </c>
      <c r="D63" s="27" t="n">
        <f aca="false">IF((J63/(-2)*40+60)&gt;120,120,IF(J63&gt;0,0,(J63/(-2)*40+60)))</f>
        <v>0</v>
      </c>
      <c r="E63" s="27" t="n">
        <f aca="false">IFERROR(IF((M63/(-2)*40+60)&gt;120,120,IF(M63&gt;0,0,(M63/(-2)*40+60))),"(NULL)")</f>
        <v>0</v>
      </c>
      <c r="F63" s="12" t="n">
        <f aca="false">SUM(U63,AF63,AQ63,BB63,BM63,BX63)/SUM(U63:V63,AF63:AG63,AQ63:AR63,BB63:BC63,BM63:BN63,BX63:BY63)</f>
        <v>0.899745860608105</v>
      </c>
      <c r="G63" s="12" t="n">
        <f aca="false">1-F63</f>
        <v>0.100254139391895</v>
      </c>
      <c r="H63" s="12" t="n">
        <f aca="false">AVERAGE(H52,O63,Z63,AK63,AV63,BG63,BR63)</f>
        <v>0.82666686846911</v>
      </c>
      <c r="I63" s="12" t="n">
        <f aca="false">AVERAGE(I52-2%,P63-2%,AA63-2%,AL63-2%,AW63-2%,BH63-2%,BS63-2%)</f>
        <v>0.807760784559591</v>
      </c>
      <c r="J63" s="12" t="n">
        <f aca="false">(H63-I63)*100</f>
        <v>1.89060839095191</v>
      </c>
      <c r="K63" s="12" t="n">
        <f aca="false">IFERROR(AVERAGE(L52,R63,AC63,AN63,AY63,BJ63,BU63),"(NULL)")</f>
        <v>0.86501474193623</v>
      </c>
      <c r="L63" s="12" t="n">
        <f aca="false">AVERAGE(M52-2%,S63-2%,AD63-2%,AO63-2%,AZ63-2%,BK63-2%,BV63-2%)</f>
        <v>0.834075070273876</v>
      </c>
      <c r="M63" s="12" t="n">
        <f aca="false">IFERROR(((K63-L63)*100),"(NULL)")</f>
        <v>3.09396716623541</v>
      </c>
      <c r="N63" s="26" t="n">
        <v>0</v>
      </c>
      <c r="O63" s="12" t="n">
        <v>0.83389727206586</v>
      </c>
      <c r="P63" s="12" t="n">
        <v>0.825269614875712</v>
      </c>
      <c r="Q63" s="12" t="n">
        <v>0.862765719014789</v>
      </c>
      <c r="R63" s="12" t="n">
        <v>0.878053787771814</v>
      </c>
      <c r="S63" s="12" t="n">
        <v>0.855969614875712</v>
      </c>
      <c r="T63" s="12" t="n">
        <v>2.20841728961022</v>
      </c>
      <c r="U63" s="8" t="n">
        <f aca="false">SUM(U57:U62)</f>
        <v>101335473.23</v>
      </c>
      <c r="V63" s="8" t="n">
        <f aca="false">SUM(V57:V62)</f>
        <v>4946988.34</v>
      </c>
      <c r="W63" s="12" t="n">
        <f aca="false">U63/(U63+V63)</f>
        <v>0.953454330404817</v>
      </c>
      <c r="X63" s="12" t="n">
        <f aca="false">1-W63</f>
        <v>0.0465456695951835</v>
      </c>
      <c r="Y63" s="26" t="n">
        <v>0</v>
      </c>
      <c r="Z63" s="12" t="n">
        <v>0.821223950620751</v>
      </c>
      <c r="AA63" s="12" t="n">
        <v>0.810605056361995</v>
      </c>
      <c r="AB63" s="12" t="n">
        <v>1.06188942587558</v>
      </c>
      <c r="AC63" s="12" t="n">
        <v>0.864641895436847</v>
      </c>
      <c r="AD63" s="12" t="n">
        <v>0.841305056361995</v>
      </c>
      <c r="AE63" s="12" t="n">
        <v>2.33368390748517</v>
      </c>
      <c r="AF63" s="8" t="n">
        <f aca="false">SUM(AF57:AF62)</f>
        <v>44937393.28</v>
      </c>
      <c r="AG63" s="8" t="n">
        <f aca="false">SUM(AG57:AG62)</f>
        <v>4431020.75</v>
      </c>
      <c r="AH63" s="12" t="n">
        <f aca="false">AF63/(AF63+AG63)</f>
        <v>0.910245835580066</v>
      </c>
      <c r="AI63" s="12" t="n">
        <f aca="false">1-AH63</f>
        <v>0.089754164419934</v>
      </c>
      <c r="AJ63" s="26" t="n">
        <v>73.0172930631701</v>
      </c>
      <c r="AK63" s="12" t="n">
        <v>0.818883323041573</v>
      </c>
      <c r="AL63" s="12" t="n">
        <v>0.829086144347333</v>
      </c>
      <c r="AM63" s="12" t="n">
        <v>-1.02028213057592</v>
      </c>
      <c r="AN63" s="12" t="n">
        <v>0.865638886576219</v>
      </c>
      <c r="AO63" s="12" t="n">
        <v>0.859786144347333</v>
      </c>
      <c r="AP63" s="12" t="n">
        <v>0.585274222888614</v>
      </c>
      <c r="AQ63" s="8" t="n">
        <v>90466016.19</v>
      </c>
      <c r="AR63" s="8" t="n">
        <v>9153921.24</v>
      </c>
      <c r="AS63" s="12" t="n">
        <v>0.908112</v>
      </c>
      <c r="AT63" s="12" t="n">
        <v>0.091888</v>
      </c>
      <c r="AU63" s="26" t="n">
        <v>76.9554980592578</v>
      </c>
      <c r="AV63" s="12" t="n">
        <v>0.844924333861861</v>
      </c>
      <c r="AW63" s="12" t="n">
        <v>0.852246637659617</v>
      </c>
      <c r="AX63" s="12" t="n">
        <v>-0.732230379775643</v>
      </c>
      <c r="AY63" s="12" t="n">
        <v>0.860494556870395</v>
      </c>
      <c r="AZ63" s="12" t="n">
        <v>0.882946637659617</v>
      </c>
      <c r="BA63" s="12" t="n">
        <v>-2.24520807892222</v>
      </c>
      <c r="BB63" s="8" t="n">
        <v>139994010.67</v>
      </c>
      <c r="BC63" s="8" t="n">
        <v>14038472.45</v>
      </c>
      <c r="BD63" s="12" t="n">
        <v>0.90886</v>
      </c>
      <c r="BE63" s="12" t="n">
        <v>0.09114</v>
      </c>
      <c r="BF63" s="26" t="n">
        <v>11.1020873555871</v>
      </c>
      <c r="BG63" s="12" t="n">
        <v>0.840693199693723</v>
      </c>
      <c r="BH63" s="12" t="n">
        <v>0.837194829272477</v>
      </c>
      <c r="BI63" s="12" t="n">
        <v>0.349837042124577</v>
      </c>
      <c r="BJ63" s="12" t="n">
        <v>0.854075066898338</v>
      </c>
      <c r="BK63" s="12" t="n">
        <v>0.867894829272477</v>
      </c>
      <c r="BL63" s="12" t="n">
        <v>-1.3819762374139</v>
      </c>
      <c r="BM63" s="8" t="n">
        <v>205320111.49</v>
      </c>
      <c r="BN63" s="8" t="n">
        <v>29782630.82</v>
      </c>
      <c r="BO63" s="12" t="n">
        <v>0.873321</v>
      </c>
      <c r="BP63" s="12" t="n">
        <v>0.126679</v>
      </c>
      <c r="BQ63" s="26" t="n">
        <v>67.448551032</v>
      </c>
      <c r="BR63" s="12" t="n">
        <v>0.807637</v>
      </c>
      <c r="BS63" s="12" t="n">
        <v>0.815551</v>
      </c>
      <c r="BT63" s="12" t="n">
        <v>-0.7914</v>
      </c>
      <c r="BU63" s="12" t="n">
        <v>0.866031</v>
      </c>
      <c r="BV63" s="12" t="n">
        <v>0.846251</v>
      </c>
      <c r="BW63" s="12" t="n">
        <v>1.97800000000001</v>
      </c>
      <c r="BX63" s="8" t="n">
        <v>195340158.36</v>
      </c>
      <c r="BY63" s="8" t="n">
        <v>24267962.35</v>
      </c>
      <c r="BZ63" s="12" t="n">
        <v>0.889494</v>
      </c>
      <c r="CA63" s="12" t="n">
        <v>0.110506</v>
      </c>
    </row>
    <row r="64" customFormat="false" ht="13" hidden="false" customHeight="true" outlineLevel="0" collapsed="false">
      <c r="I64" s="37"/>
      <c r="L64" s="12"/>
      <c r="M64" s="11"/>
      <c r="R64" s="12"/>
    </row>
    <row r="65" customFormat="false" ht="13" hidden="false" customHeight="true" outlineLevel="0" collapsed="false">
      <c r="Q65" s="33"/>
      <c r="R65" s="33"/>
      <c r="S65" s="33"/>
      <c r="T65" s="33"/>
      <c r="U65" s="33"/>
      <c r="V65" s="33"/>
    </row>
    <row r="66" customFormat="false" ht="13.5" hidden="false" customHeight="true" outlineLevel="0" collapsed="false">
      <c r="B66" s="2" t="s">
        <v>96</v>
      </c>
      <c r="Q66" s="33"/>
      <c r="R66" s="33"/>
      <c r="S66" s="33"/>
      <c r="T66" s="33"/>
      <c r="U66" s="33"/>
      <c r="V66" s="33"/>
    </row>
    <row r="67" customFormat="false" ht="14" hidden="false" customHeight="true" outlineLevel="0" collapsed="false">
      <c r="B67" s="34" t="s">
        <v>4</v>
      </c>
      <c r="C67" s="38" t="n">
        <v>0.939374293307109</v>
      </c>
      <c r="D67" s="39" t="n">
        <v>0.926820697925118</v>
      </c>
      <c r="F67" s="32" t="s">
        <v>21</v>
      </c>
      <c r="G67" s="32"/>
      <c r="H67" s="32"/>
      <c r="I67" s="31" t="s">
        <v>22</v>
      </c>
      <c r="J67" s="31"/>
      <c r="K67" s="31"/>
      <c r="L67" s="32" t="s">
        <v>23</v>
      </c>
      <c r="M67" s="32"/>
      <c r="N67" s="32"/>
      <c r="O67" s="31" t="s">
        <v>24</v>
      </c>
      <c r="P67" s="31"/>
      <c r="Q67" s="31"/>
      <c r="R67" s="32" t="s">
        <v>25</v>
      </c>
      <c r="S67" s="32"/>
      <c r="T67" s="32"/>
      <c r="U67" s="31" t="s">
        <v>26</v>
      </c>
      <c r="V67" s="31"/>
      <c r="W67" s="31"/>
      <c r="X67" s="32" t="s">
        <v>27</v>
      </c>
      <c r="Y67" s="32"/>
      <c r="Z67" s="32"/>
    </row>
    <row r="68" s="33" customFormat="true" ht="27" hidden="false" customHeight="true" outlineLevel="0" collapsed="false">
      <c r="B68" s="34"/>
      <c r="C68" s="34" t="n">
        <v>0.928369220978089</v>
      </c>
      <c r="D68" s="34" t="n">
        <v>0.888279748539167</v>
      </c>
      <c r="E68" s="34" t="s">
        <v>97</v>
      </c>
      <c r="F68" s="35" t="s">
        <v>98</v>
      </c>
      <c r="G68" s="35" t="s">
        <v>99</v>
      </c>
      <c r="H68" s="35" t="s">
        <v>97</v>
      </c>
      <c r="I68" s="34" t="s">
        <v>98</v>
      </c>
      <c r="J68" s="34" t="s">
        <v>99</v>
      </c>
      <c r="K68" s="34" t="s">
        <v>97</v>
      </c>
      <c r="L68" s="35" t="s">
        <v>98</v>
      </c>
      <c r="M68" s="35" t="s">
        <v>99</v>
      </c>
      <c r="N68" s="35" t="s">
        <v>97</v>
      </c>
      <c r="O68" s="34" t="s">
        <v>98</v>
      </c>
      <c r="P68" s="34" t="s">
        <v>99</v>
      </c>
      <c r="Q68" s="34" t="s">
        <v>97</v>
      </c>
      <c r="R68" s="35" t="s">
        <v>98</v>
      </c>
      <c r="S68" s="35" t="s">
        <v>99</v>
      </c>
      <c r="T68" s="35" t="s">
        <v>97</v>
      </c>
      <c r="U68" s="34" t="s">
        <v>98</v>
      </c>
      <c r="V68" s="34" t="s">
        <v>99</v>
      </c>
      <c r="W68" s="34" t="s">
        <v>97</v>
      </c>
      <c r="X68" s="35" t="s">
        <v>98</v>
      </c>
      <c r="Y68" s="35" t="s">
        <v>99</v>
      </c>
      <c r="Z68" s="35" t="s">
        <v>97</v>
      </c>
    </row>
    <row r="69" customFormat="false" ht="13" hidden="false" customHeight="true" outlineLevel="0" collapsed="false">
      <c r="B69" s="7" t="s">
        <v>15</v>
      </c>
      <c r="C69" s="20" t="n">
        <v>0.920723840662117</v>
      </c>
      <c r="D69" s="20" t="n">
        <v>0.890598150315729</v>
      </c>
      <c r="E69" s="20" t="n">
        <f aca="false">D69-C69</f>
        <v>-0.030125690346388</v>
      </c>
      <c r="F69" s="20" t="n">
        <f aca="false">AVERAGE(C69,I69,L69,O69,R69,U69,X69)</f>
        <v>0.943337267369077</v>
      </c>
      <c r="G69" s="20" t="n">
        <f aca="false">AVERAGE(D69,J69,M69,P69,S69,V69,Y69)</f>
        <v>0.915557646073173</v>
      </c>
      <c r="H69" s="20" t="n">
        <f aca="false">G69-F69</f>
        <v>-0.0277796212959037</v>
      </c>
      <c r="I69" s="20" t="n">
        <v>0.957372802233</v>
      </c>
      <c r="J69" s="20" t="n">
        <v>0.920840506281</v>
      </c>
      <c r="K69" s="20" t="n">
        <f aca="false">J69-I69</f>
        <v>-0.036532295952</v>
      </c>
      <c r="L69" s="20" t="n">
        <v>0.958862151581782</v>
      </c>
      <c r="M69" s="20" t="n">
        <v>0.921723269860723</v>
      </c>
      <c r="N69" s="20" t="n">
        <f aca="false">M69-L69</f>
        <v>-0.0371388817210591</v>
      </c>
      <c r="O69" s="20" t="n">
        <v>0.957703431523745</v>
      </c>
      <c r="P69" s="20" t="n">
        <v>0.935951927341198</v>
      </c>
      <c r="Q69" s="20" t="n">
        <f aca="false">P69-O69</f>
        <v>-0.021751504182547</v>
      </c>
      <c r="R69" s="20" t="n">
        <v>0.9502024099598</v>
      </c>
      <c r="S69" s="20" t="n">
        <v>0.926421268619261</v>
      </c>
      <c r="T69" s="20" t="n">
        <f aca="false">S69-R69</f>
        <v>-0.023781141340539</v>
      </c>
      <c r="U69" s="20" t="n">
        <v>0.932379495156016</v>
      </c>
      <c r="V69" s="20" t="n">
        <v>0.909649859074555</v>
      </c>
      <c r="W69" s="20" t="n">
        <f aca="false">V69-U69</f>
        <v>-0.0227296360814611</v>
      </c>
      <c r="X69" s="20" t="n">
        <v>0.926116740467079</v>
      </c>
      <c r="Y69" s="20" t="n">
        <v>0.903718541019747</v>
      </c>
      <c r="Z69" s="20" t="n">
        <f aca="false">Y69-X69</f>
        <v>-0.022398199447332</v>
      </c>
    </row>
    <row r="70" customFormat="false" ht="13" hidden="false" customHeight="true" outlineLevel="0" collapsed="false">
      <c r="B70" s="7" t="s">
        <v>13</v>
      </c>
      <c r="C70" s="20" t="n">
        <v>0.979691896834522</v>
      </c>
      <c r="D70" s="20" t="n">
        <v>0.881446248994383</v>
      </c>
      <c r="E70" s="20" t="n">
        <f aca="false">D70-C70</f>
        <v>-0.098245647840139</v>
      </c>
      <c r="F70" s="20" t="n">
        <f aca="false">AVERAGE(C70,I70,L70,O70,R70,U70,X70)</f>
        <v>0.933203447747259</v>
      </c>
      <c r="G70" s="20" t="n">
        <f aca="false">AVERAGE(D70,J70,M70,P70,S70,V70,Y70)</f>
        <v>0.89155519729228</v>
      </c>
      <c r="H70" s="20" t="n">
        <f aca="false">G70-F70</f>
        <v>-0.0416482504549786</v>
      </c>
      <c r="I70" s="20" t="n">
        <v>0.944438752945</v>
      </c>
      <c r="J70" s="20" t="n">
        <v>0.911893593365</v>
      </c>
      <c r="K70" s="20" t="n">
        <f aca="false">J70-I70</f>
        <v>-0.03254515958</v>
      </c>
      <c r="L70" s="20" t="n">
        <v>0.95009233056362</v>
      </c>
      <c r="M70" s="20" t="n">
        <v>0.91155355046995</v>
      </c>
      <c r="N70" s="20" t="n">
        <f aca="false">M70-L70</f>
        <v>-0.03853878009367</v>
      </c>
      <c r="O70" s="20" t="n">
        <v>0.939256197653426</v>
      </c>
      <c r="P70" s="20" t="n">
        <v>0.908239922858073</v>
      </c>
      <c r="Q70" s="20" t="n">
        <f aca="false">P70-O70</f>
        <v>-0.0310162747953531</v>
      </c>
      <c r="R70" s="20" t="n">
        <v>0.927525095971756</v>
      </c>
      <c r="S70" s="20" t="n">
        <v>0.898709321213904</v>
      </c>
      <c r="T70" s="20" t="n">
        <f aca="false">S70-R70</f>
        <v>-0.028815774757852</v>
      </c>
      <c r="U70" s="20" t="n">
        <v>0.907697348366657</v>
      </c>
      <c r="V70" s="20" t="n">
        <v>0.870871858326397</v>
      </c>
      <c r="W70" s="20" t="n">
        <f aca="false">V70-U70</f>
        <v>-0.03682549004026</v>
      </c>
      <c r="X70" s="20" t="n">
        <v>0.883722511895832</v>
      </c>
      <c r="Y70" s="20" t="n">
        <v>0.858171885818256</v>
      </c>
      <c r="Z70" s="20" t="n">
        <f aca="false">Y70-X70</f>
        <v>-0.025550626077576</v>
      </c>
    </row>
    <row r="71" customFormat="false" ht="13" hidden="false" customHeight="true" outlineLevel="0" collapsed="false">
      <c r="B71" s="7" t="s">
        <v>14</v>
      </c>
      <c r="C71" s="20" t="n">
        <v>0.941736707043055</v>
      </c>
      <c r="D71" s="20" t="n">
        <v>0.824044110021096</v>
      </c>
      <c r="E71" s="20" t="n">
        <f aca="false">D71-C71</f>
        <v>-0.117692597021959</v>
      </c>
      <c r="F71" s="20" t="n">
        <f aca="false">AVERAGE(C71,I71,L71,O71,R71,U71,X71)</f>
        <v>0.907660084391068</v>
      </c>
      <c r="G71" s="20" t="n">
        <f aca="false">AVERAGE(D71,J71,M71,P71,S71,V71,Y71)</f>
        <v>0.869812871311112</v>
      </c>
      <c r="H71" s="20" t="n">
        <f aca="false">G71-F71</f>
        <v>-0.0378472130799556</v>
      </c>
      <c r="I71" s="20" t="n">
        <v>0.937773921148</v>
      </c>
      <c r="J71" s="20" t="n">
        <v>0.902749639182</v>
      </c>
      <c r="K71" s="20" t="n">
        <f aca="false">J71-I71</f>
        <v>-0.0350242819659999</v>
      </c>
      <c r="L71" s="20" t="n">
        <v>0.932187464149747</v>
      </c>
      <c r="M71" s="20" t="n">
        <v>0.90124381847523</v>
      </c>
      <c r="N71" s="20" t="n">
        <f aca="false">M71-L71</f>
        <v>-0.0309436456745169</v>
      </c>
      <c r="O71" s="20" t="n">
        <v>0.90924761982128</v>
      </c>
      <c r="P71" s="20" t="n">
        <v>0.893518690799102</v>
      </c>
      <c r="Q71" s="20" t="n">
        <f aca="false">P71-O71</f>
        <v>-0.015728929022178</v>
      </c>
      <c r="R71" s="20" t="n">
        <v>0.891206543963176</v>
      </c>
      <c r="S71" s="20" t="n">
        <v>0.868259363811396</v>
      </c>
      <c r="T71" s="20" t="n">
        <f aca="false">S71-R71</f>
        <v>-0.02294718015178</v>
      </c>
      <c r="U71" s="20" t="n">
        <v>0.867122473758169</v>
      </c>
      <c r="V71" s="20" t="n">
        <v>0.854472288809423</v>
      </c>
      <c r="W71" s="20" t="n">
        <f aca="false">V71-U71</f>
        <v>-0.0126501849487459</v>
      </c>
      <c r="X71" s="20" t="n">
        <v>0.874345860854049</v>
      </c>
      <c r="Y71" s="20" t="n">
        <v>0.84440218807954</v>
      </c>
      <c r="Z71" s="20" t="n">
        <f aca="false">Y71-X71</f>
        <v>-0.0299436727745089</v>
      </c>
    </row>
    <row r="72" customFormat="false" ht="13" hidden="false" customHeight="true" outlineLevel="0" collapsed="false">
      <c r="B72" s="7" t="s">
        <v>16</v>
      </c>
      <c r="C72" s="20" t="n">
        <v>0.937825667875353</v>
      </c>
      <c r="D72" s="20" t="n">
        <v>0.878464889243306</v>
      </c>
      <c r="E72" s="20" t="n">
        <f aca="false">D72-C72</f>
        <v>-0.059360778632047</v>
      </c>
      <c r="F72" s="20" t="n">
        <f aca="false">AVERAGE(C72,I72,L72,O72,R72,U72,X72)</f>
        <v>0.949282129047289</v>
      </c>
      <c r="G72" s="20" t="n">
        <f aca="false">AVERAGE(D72,J72,M72,P72,S72,V72,Y72)</f>
        <v>0.888007628748077</v>
      </c>
      <c r="H72" s="20" t="n">
        <f aca="false">G72-F72</f>
        <v>-0.0612745002992116</v>
      </c>
      <c r="I72" s="20" t="n">
        <v>0.940199129414</v>
      </c>
      <c r="J72" s="20" t="n">
        <v>0.934200852319</v>
      </c>
      <c r="K72" s="20" t="n">
        <f aca="false">J72-I72</f>
        <v>-0.005998277095</v>
      </c>
      <c r="L72" s="20" t="n">
        <v>0.973730801588934</v>
      </c>
      <c r="M72" s="20" t="n">
        <v>0.894240092320795</v>
      </c>
      <c r="N72" s="20" t="n">
        <f aca="false">M72-L72</f>
        <v>-0.079490709268139</v>
      </c>
      <c r="O72" s="20" t="n">
        <v>0.96155161289562</v>
      </c>
      <c r="P72" s="20" t="n">
        <v>0.903426101162552</v>
      </c>
      <c r="Q72" s="20" t="n">
        <f aca="false">P72-O72</f>
        <v>-0.058125511733068</v>
      </c>
      <c r="R72" s="20" t="n">
        <v>0.974584090076957</v>
      </c>
      <c r="S72" s="20" t="n">
        <v>0.895905960770032</v>
      </c>
      <c r="T72" s="20" t="n">
        <f aca="false">S72-R72</f>
        <v>-0.078678129306925</v>
      </c>
      <c r="U72" s="20" t="n">
        <v>0.92948674217179</v>
      </c>
      <c r="V72" s="20" t="n">
        <v>0.8676030648544</v>
      </c>
      <c r="W72" s="20" t="n">
        <f aca="false">V72-U72</f>
        <v>-0.06188367731739</v>
      </c>
      <c r="X72" s="20" t="n">
        <v>0.927596859308369</v>
      </c>
      <c r="Y72" s="20" t="n">
        <v>0.842212440566456</v>
      </c>
      <c r="Z72" s="20" t="n">
        <f aca="false">Y72-X72</f>
        <v>-0.0853844187419129</v>
      </c>
    </row>
    <row r="73" customFormat="false" ht="13" hidden="false" customHeight="true" outlineLevel="0" collapsed="false">
      <c r="B73" s="7" t="s">
        <v>17</v>
      </c>
      <c r="C73" s="20" t="n">
        <v>0.933206076245543</v>
      </c>
      <c r="D73" s="20" t="n">
        <v>0.883899761396711</v>
      </c>
      <c r="E73" s="20" t="n">
        <f aca="false">D73-C73</f>
        <v>-0.049306314848832</v>
      </c>
      <c r="F73" s="20" t="n">
        <f aca="false">AVERAGE(C73,I73,L73,O73,R73,U73,X73)</f>
        <v>0.929651243497127</v>
      </c>
      <c r="G73" s="20" t="n">
        <f aca="false">AVERAGE(D73,J73,M73,P73,S73,V73,Y73)</f>
        <v>0.863582938911569</v>
      </c>
      <c r="H73" s="20" t="n">
        <f aca="false">G73-F73</f>
        <v>-0.0660683045855576</v>
      </c>
      <c r="I73" s="20" t="n">
        <v>0.949920445348</v>
      </c>
      <c r="J73" s="20" t="n">
        <v>0.92827090843</v>
      </c>
      <c r="K73" s="20" t="n">
        <f aca="false">J73-I73</f>
        <v>-0.021649536918</v>
      </c>
      <c r="L73" s="20" t="n">
        <v>0.962217324837205</v>
      </c>
      <c r="M73" s="20" t="n">
        <v>0.914205562107553</v>
      </c>
      <c r="N73" s="20" t="n">
        <f aca="false">M73-L73</f>
        <v>-0.048011762729652</v>
      </c>
      <c r="O73" s="20" t="n">
        <v>0.958177753903545</v>
      </c>
      <c r="P73" s="20" t="n">
        <v>0.881892379429811</v>
      </c>
      <c r="Q73" s="20" t="n">
        <f aca="false">P73-O73</f>
        <v>-0.076285374473734</v>
      </c>
      <c r="R73" s="20" t="n">
        <v>0.96394025207194</v>
      </c>
      <c r="S73" s="20" t="n">
        <v>0.846153758104568</v>
      </c>
      <c r="T73" s="20" t="n">
        <f aca="false">S73-R73</f>
        <v>-0.117786493967372</v>
      </c>
      <c r="U73" s="20" t="n">
        <v>0.86280261341205</v>
      </c>
      <c r="V73" s="20" t="n">
        <v>0.792565677329489</v>
      </c>
      <c r="W73" s="20" t="n">
        <f aca="false">V73-U73</f>
        <v>-0.070236936082561</v>
      </c>
      <c r="X73" s="20" t="n">
        <v>0.877294238661604</v>
      </c>
      <c r="Y73" s="20" t="n">
        <v>0.798092525582854</v>
      </c>
      <c r="Z73" s="20" t="n">
        <f aca="false">Y73-X73</f>
        <v>-0.07920171307875</v>
      </c>
    </row>
    <row r="74" customFormat="false" ht="13" hidden="false" customHeight="true" outlineLevel="0" collapsed="false">
      <c r="B74" s="7" t="s">
        <v>18</v>
      </c>
      <c r="C74" s="20" t="n">
        <v>0.938706294597389</v>
      </c>
      <c r="D74" s="20" t="n">
        <v>0.878564979098045</v>
      </c>
      <c r="E74" s="20" t="n">
        <f aca="false">D74-C74</f>
        <v>-0.060141315499344</v>
      </c>
      <c r="F74" s="20" t="n">
        <f aca="false">AVERAGE(C74,I74,L74,O74,R74,U74,X74)</f>
        <v>0.928412487440015</v>
      </c>
      <c r="G74" s="20" t="n">
        <f aca="false">AVERAGE(D74,J74,M74,P74,S74,V74,Y74)</f>
        <v>0.878851878298435</v>
      </c>
      <c r="H74" s="20" t="n">
        <f aca="false">G74-F74</f>
        <v>-0.0495606091415797</v>
      </c>
      <c r="I74" s="20" t="n">
        <v>0.931639682796</v>
      </c>
      <c r="J74" s="20" t="n">
        <v>0.901502138368</v>
      </c>
      <c r="K74" s="20" t="n">
        <f aca="false">J74-I74</f>
        <v>-0.030137544428</v>
      </c>
      <c r="L74" s="20" t="n">
        <v>0.954506645310785</v>
      </c>
      <c r="M74" s="20" t="n">
        <v>0.89361855561424</v>
      </c>
      <c r="N74" s="20" t="n">
        <f aca="false">M74-L74</f>
        <v>-0.060888089696545</v>
      </c>
      <c r="O74" s="20" t="n">
        <v>0.935728065251909</v>
      </c>
      <c r="P74" s="20" t="n">
        <v>0.878647210830869</v>
      </c>
      <c r="Q74" s="20" t="n">
        <f aca="false">P74-O74</f>
        <v>-0.0570808544210399</v>
      </c>
      <c r="R74" s="20" t="n">
        <v>0.929784343240451</v>
      </c>
      <c r="S74" s="20" t="n">
        <v>0.872985346258946</v>
      </c>
      <c r="T74" s="20" t="n">
        <f aca="false">S74-R74</f>
        <v>-0.056798996981505</v>
      </c>
      <c r="U74" s="20" t="n">
        <v>0.917043356129117</v>
      </c>
      <c r="V74" s="20" t="n">
        <v>0.86552605469833</v>
      </c>
      <c r="W74" s="20" t="n">
        <f aca="false">V74-U74</f>
        <v>-0.051517301430787</v>
      </c>
      <c r="X74" s="20" t="n">
        <v>0.891479024754453</v>
      </c>
      <c r="Y74" s="20" t="n">
        <v>0.861118863220617</v>
      </c>
      <c r="Z74" s="20" t="n">
        <f aca="false">Y74-X74</f>
        <v>-0.0303601615338359</v>
      </c>
    </row>
    <row r="75" customFormat="false" ht="13" hidden="false" customHeight="true" outlineLevel="0" collapsed="false">
      <c r="B75" s="7" t="s">
        <v>19</v>
      </c>
      <c r="C75" s="20" t="n">
        <v>0.933822717349658</v>
      </c>
      <c r="D75" s="20" t="n">
        <v>0.884077911071758</v>
      </c>
      <c r="E75" s="20" t="n">
        <f aca="false">D75-C75</f>
        <v>-0.0497448062779</v>
      </c>
      <c r="F75" s="20" t="n">
        <f aca="false">AVERAGE(C75,I75,L75,O75,R75,U75,X75)</f>
        <v>0.926718863337497</v>
      </c>
      <c r="G75" s="20" t="n">
        <f aca="false">AVERAGE(D75,J75,M75,P75,S75,V75,Y75)</f>
        <v>0.88670468896781</v>
      </c>
      <c r="H75" s="20" t="n">
        <f aca="false">G75-F75</f>
        <v>-0.0400141743696875</v>
      </c>
      <c r="I75" s="20" t="n">
        <v>0.941480932127414</v>
      </c>
      <c r="J75" s="20" t="n">
        <v>0.909669482453838</v>
      </c>
      <c r="K75" s="20" t="n">
        <f aca="false">J75-I75</f>
        <v>-0.031811449673576</v>
      </c>
      <c r="L75" s="20" t="n">
        <v>0.951060744260873</v>
      </c>
      <c r="M75" s="20" t="n">
        <v>0.90523987771736</v>
      </c>
      <c r="N75" s="20" t="n">
        <f aca="false">M75-L75</f>
        <v>-0.0458208665435129</v>
      </c>
      <c r="O75" s="20" t="n">
        <v>0.937661389100217</v>
      </c>
      <c r="P75" s="20" t="n">
        <v>0.89864709981389</v>
      </c>
      <c r="Q75" s="20" t="n">
        <f aca="false">P75-O75</f>
        <v>-0.039014289286327</v>
      </c>
      <c r="R75" s="20" t="n">
        <v>0.928745924237247</v>
      </c>
      <c r="S75" s="20" t="n">
        <v>0.888246152805365</v>
      </c>
      <c r="T75" s="20" t="n">
        <f aca="false">S75-R75</f>
        <v>-0.040499771431882</v>
      </c>
      <c r="U75" s="20" t="n">
        <v>0.906248600873445</v>
      </c>
      <c r="V75" s="20" t="n">
        <v>0.865860117007351</v>
      </c>
      <c r="W75" s="20" t="n">
        <f aca="false">V75-U75</f>
        <v>-0.0403884838660941</v>
      </c>
      <c r="X75" s="20" t="n">
        <v>0.888011735413626</v>
      </c>
      <c r="Y75" s="20" t="n">
        <v>0.855192181905105</v>
      </c>
      <c r="Z75" s="20" t="n">
        <f aca="false">Y75-X75</f>
        <v>-0.0328195535085209</v>
      </c>
    </row>
    <row r="78" customFormat="false" ht="13.5" hidden="false" customHeight="true" outlineLevel="0" collapsed="false">
      <c r="B78" s="2" t="s">
        <v>100</v>
      </c>
    </row>
    <row r="79" customFormat="false" ht="13.5" hidden="false" customHeight="true" outlineLevel="0" collapsed="false">
      <c r="B79" s="5" t="s">
        <v>3</v>
      </c>
      <c r="C79" s="39" t="n">
        <v>1408.52</v>
      </c>
      <c r="D79" s="39" t="n">
        <v>0.709595887882316</v>
      </c>
      <c r="E79" s="39" t="n">
        <v>0.894176</v>
      </c>
      <c r="F79" s="39" t="n">
        <v>0.8146325152</v>
      </c>
      <c r="G79" s="11"/>
      <c r="H79" s="12" t="n">
        <v>0.885266</v>
      </c>
      <c r="I79" s="39" t="n">
        <v>0.8207995184</v>
      </c>
      <c r="J79" s="11"/>
      <c r="K79" s="12" t="n">
        <v>0.8283378746594</v>
      </c>
      <c r="L79" s="39" t="n">
        <v>0.8082191781</v>
      </c>
      <c r="N79" s="39" t="n">
        <v>0.074526339061877</v>
      </c>
      <c r="O79" s="39" t="n">
        <v>0.0611152139</v>
      </c>
      <c r="P79" s="11"/>
      <c r="Q79" s="12"/>
    </row>
    <row r="80" customFormat="false" ht="27" hidden="false" customHeight="true" outlineLevel="0" collapsed="false">
      <c r="B80" s="34" t="s">
        <v>4</v>
      </c>
      <c r="C80" s="34" t="n">
        <v>116.8</v>
      </c>
      <c r="D80" s="34" t="n">
        <v>0.250342465753425</v>
      </c>
      <c r="E80" s="40" t="n">
        <v>0.731436</v>
      </c>
      <c r="F80" s="40" t="n">
        <v>0.7556221149</v>
      </c>
      <c r="G80" s="41" t="s">
        <v>101</v>
      </c>
      <c r="H80" s="34" t="s">
        <v>86</v>
      </c>
      <c r="I80" s="34" t="n">
        <v>0.8207995184</v>
      </c>
      <c r="J80" s="38" t="s">
        <v>102</v>
      </c>
      <c r="K80" s="40" t="n">
        <v>0.8</v>
      </c>
      <c r="L80" s="40" t="n">
        <v>0.8082191781</v>
      </c>
      <c r="M80" s="41" t="s">
        <v>103</v>
      </c>
      <c r="N80" s="34" t="n">
        <v>0.148198504418763</v>
      </c>
      <c r="O80" s="34" t="n">
        <v>0.0611152139</v>
      </c>
      <c r="P80" s="38" t="s">
        <v>104</v>
      </c>
    </row>
    <row r="81" customFormat="false" ht="13" hidden="false" customHeight="true" outlineLevel="0" collapsed="false">
      <c r="B81" s="7" t="s">
        <v>105</v>
      </c>
      <c r="C81" s="42" t="n">
        <v>1405.14285714286</v>
      </c>
      <c r="D81" s="12" t="n">
        <v>0.7095109800732</v>
      </c>
      <c r="E81" s="12" t="n">
        <v>0.894438</v>
      </c>
      <c r="F81" s="12" t="n">
        <v>0.8146325152</v>
      </c>
      <c r="G81" s="9" t="n">
        <f aca="false">IFERROR(E81-F81,"(NULL)")</f>
        <v>0.0798054847999999</v>
      </c>
      <c r="H81" s="12" t="n">
        <v>0.884556</v>
      </c>
      <c r="I81" s="12" t="n">
        <v>0.8207995184</v>
      </c>
      <c r="J81" s="9" t="n">
        <f aca="false">IFERROR(H81-I81,"(NULL)")</f>
        <v>0.0637564816</v>
      </c>
      <c r="K81" s="12" t="n">
        <v>0.819371727748691</v>
      </c>
      <c r="L81" s="12" t="n">
        <v>0.8082191781</v>
      </c>
      <c r="M81" s="9" t="n">
        <f aca="false">IFERROR(K81-L81,"(NULL)")</f>
        <v>0.0111525496486911</v>
      </c>
      <c r="N81" s="12" t="n">
        <v>0.0762847946804372</v>
      </c>
      <c r="O81" s="12" t="n">
        <v>0.0611152139</v>
      </c>
      <c r="P81" s="9" t="n">
        <f aca="false">IFERROR(N81-O81,"(NULL)")</f>
        <v>0.0151695807804372</v>
      </c>
    </row>
    <row r="82" customFormat="false" ht="13" hidden="false" customHeight="true" outlineLevel="0" collapsed="false">
      <c r="B82" s="7" t="s">
        <v>15</v>
      </c>
      <c r="C82" s="42" t="n">
        <v>116.535714285714</v>
      </c>
      <c r="D82" s="12" t="n">
        <v>0.251608948820104</v>
      </c>
      <c r="E82" s="12" t="n">
        <v>0.734317</v>
      </c>
      <c r="F82" s="12" t="n">
        <v>0.7556221149</v>
      </c>
      <c r="G82" s="9" t="n">
        <f aca="false">IFERROR(E82-F82,"(NULL)")</f>
        <v>-0.0213051149</v>
      </c>
      <c r="H82" s="12" t="s">
        <v>86</v>
      </c>
      <c r="I82" s="12" t="n">
        <v>0.8207995184</v>
      </c>
      <c r="J82" s="9" t="str">
        <f aca="false">IFERROR(H82-I82,"(NULL)")</f>
        <v>(NULL)</v>
      </c>
      <c r="K82" s="12" t="n">
        <v>0.8</v>
      </c>
      <c r="L82" s="12" t="n">
        <v>0.8082191781</v>
      </c>
      <c r="M82" s="9" t="n">
        <f aca="false">IFERROR(K82-L82,"(NULL)")</f>
        <v>-0.00821917809999995</v>
      </c>
      <c r="N82" s="12" t="n">
        <v>0.148962148962149</v>
      </c>
      <c r="O82" s="12" t="n">
        <v>0.0611152139</v>
      </c>
      <c r="P82" s="9" t="n">
        <f aca="false">IFERROR(N82-O82,"(NULL)")</f>
        <v>0.087846935062149</v>
      </c>
    </row>
    <row r="83" customFormat="false" ht="13" hidden="false" customHeight="true" outlineLevel="0" collapsed="false">
      <c r="B83" s="7" t="s">
        <v>13</v>
      </c>
      <c r="C83" s="42" t="n">
        <v>313.964285714286</v>
      </c>
      <c r="D83" s="12" t="n">
        <v>0.710271868956888</v>
      </c>
      <c r="E83" s="12" t="n">
        <v>0.882758</v>
      </c>
      <c r="F83" s="12" t="n">
        <v>0.8066</v>
      </c>
      <c r="G83" s="9" t="n">
        <f aca="false">IFERROR(E83-F83,"(NULL)")</f>
        <v>0.0761580000000001</v>
      </c>
      <c r="H83" s="12" t="n">
        <v>0.882866</v>
      </c>
      <c r="I83" s="12" t="n">
        <v>0.8207995184</v>
      </c>
      <c r="J83" s="9" t="n">
        <f aca="false">IFERROR(H83-I83,"(NULL)")</f>
        <v>0.0620664816000001</v>
      </c>
      <c r="K83" s="12" t="n">
        <v>0.893333333333333</v>
      </c>
      <c r="L83" s="12" t="n">
        <v>0.8082191781</v>
      </c>
      <c r="M83" s="9" t="n">
        <f aca="false">IFERROR(K83-L83,"(NULL)")</f>
        <v>0.085114155233333</v>
      </c>
      <c r="N83" s="12" t="n">
        <v>0.0462958062068844</v>
      </c>
      <c r="O83" s="12" t="n">
        <v>0.0611152139</v>
      </c>
      <c r="P83" s="9" t="n">
        <f aca="false">IFERROR(N83-O83,"(NULL)")</f>
        <v>-0.0148194076931156</v>
      </c>
    </row>
    <row r="84" customFormat="false" ht="13" hidden="false" customHeight="true" outlineLevel="0" collapsed="false">
      <c r="B84" s="7" t="s">
        <v>14</v>
      </c>
      <c r="C84" s="42" t="n">
        <v>875.75</v>
      </c>
      <c r="D84" s="12" t="n">
        <v>0.806247706047877</v>
      </c>
      <c r="E84" s="12" t="n">
        <v>0.916198</v>
      </c>
      <c r="F84" s="12" t="n">
        <v>0.8078</v>
      </c>
      <c r="G84" s="9" t="n">
        <f aca="false">IFERROR(E84-F84,"(NULL)")</f>
        <v>0.108398</v>
      </c>
      <c r="H84" s="12" t="n">
        <v>0.89528</v>
      </c>
      <c r="I84" s="12" t="n">
        <v>0.8207995184</v>
      </c>
      <c r="J84" s="9" t="n">
        <f aca="false">IFERROR(H84-I84,"(NULL)")</f>
        <v>0.0744804816</v>
      </c>
      <c r="K84" s="12" t="n">
        <v>0.804054054054054</v>
      </c>
      <c r="L84" s="12" t="n">
        <v>0.8082191781</v>
      </c>
      <c r="M84" s="9" t="n">
        <f aca="false">IFERROR(K84-L84,"(NULL)")</f>
        <v>-0.00416512404594605</v>
      </c>
      <c r="N84" s="12" t="n">
        <v>0.0917371996811781</v>
      </c>
      <c r="O84" s="12" t="n">
        <v>0.0611152139</v>
      </c>
      <c r="P84" s="9" t="n">
        <f aca="false">IFERROR(N84-O84,"(NULL)")</f>
        <v>0.0306219857811781</v>
      </c>
    </row>
    <row r="85" customFormat="false" ht="13" hidden="false" customHeight="true" outlineLevel="0" collapsed="false">
      <c r="B85" s="7" t="s">
        <v>16</v>
      </c>
      <c r="C85" s="42" t="n">
        <v>1</v>
      </c>
      <c r="D85" s="12" t="n">
        <v>0.8</v>
      </c>
      <c r="E85" s="12" t="s">
        <v>86</v>
      </c>
      <c r="F85" s="12" t="n">
        <v>0.8417108422</v>
      </c>
      <c r="G85" s="9" t="str">
        <f aca="false">IFERROR(E85-F85,"(NULL)")</f>
        <v>(NULL)</v>
      </c>
      <c r="H85" s="12" t="n">
        <v>0.999768</v>
      </c>
      <c r="I85" s="12" t="n">
        <v>0.8207995184</v>
      </c>
      <c r="J85" s="9" t="n">
        <f aca="false">IFERROR(H85-I85,"(NULL)")</f>
        <v>0.1789684816</v>
      </c>
      <c r="K85" s="12" t="s">
        <v>86</v>
      </c>
      <c r="L85" s="12" t="n">
        <v>0.8082191781</v>
      </c>
      <c r="M85" s="9" t="str">
        <f aca="false">IFERROR(K85-L85,"(NULL)")</f>
        <v>(NULL)</v>
      </c>
      <c r="N85" s="12" t="n">
        <v>0</v>
      </c>
      <c r="O85" s="12" t="n">
        <v>0.0611152139</v>
      </c>
      <c r="P85" s="9" t="n">
        <f aca="false">IFERROR(N85-O85,"(NULL)")</f>
        <v>-0.0611152139</v>
      </c>
    </row>
    <row r="86" customFormat="false" ht="13" hidden="false" customHeight="true" outlineLevel="0" collapsed="false">
      <c r="B86" s="7" t="s">
        <v>17</v>
      </c>
      <c r="C86" s="42" t="n">
        <v>1.60714285714286</v>
      </c>
      <c r="D86" s="12" t="n">
        <v>0.8</v>
      </c>
      <c r="E86" s="12" t="s">
        <v>86</v>
      </c>
      <c r="F86" s="12" t="n">
        <v>0.7771375317</v>
      </c>
      <c r="G86" s="9" t="str">
        <f aca="false">IFERROR(E86-F86,"(NULL)")</f>
        <v>(NULL)</v>
      </c>
      <c r="H86" s="12" t="s">
        <v>86</v>
      </c>
      <c r="I86" s="12" t="n">
        <v>0.8207995184</v>
      </c>
      <c r="J86" s="9" t="str">
        <f aca="false">IFERROR(H86-I86,"(NULL)")</f>
        <v>(NULL)</v>
      </c>
      <c r="K86" s="12" t="s">
        <v>86</v>
      </c>
      <c r="L86" s="12" t="n">
        <v>0.8082191781</v>
      </c>
      <c r="M86" s="9" t="str">
        <f aca="false">IFERROR(K86-L86,"(NULL)")</f>
        <v>(NULL)</v>
      </c>
      <c r="N86" s="12" t="n">
        <v>0.191780821917808</v>
      </c>
      <c r="O86" s="12" t="n">
        <v>0.0611152139</v>
      </c>
      <c r="P86" s="9" t="n">
        <f aca="false">IFERROR(N86-O86,"(NULL)")</f>
        <v>0.130665608017808</v>
      </c>
    </row>
    <row r="87" customFormat="false" ht="13" hidden="false" customHeight="true" outlineLevel="0" collapsed="false">
      <c r="B87" s="7" t="s">
        <v>18</v>
      </c>
      <c r="C87" s="42" t="n">
        <v>96.9285714285714</v>
      </c>
      <c r="D87" s="12" t="n">
        <v>0.381724392041267</v>
      </c>
      <c r="E87" s="12" t="n">
        <v>0.855149</v>
      </c>
      <c r="F87" s="12" t="n">
        <v>0.8087257009</v>
      </c>
      <c r="G87" s="9" t="n">
        <f aca="false">IFERROR(E87-F87,"(NULL)")</f>
        <v>0.0464232991000001</v>
      </c>
      <c r="H87" s="12" t="n">
        <v>0.79388</v>
      </c>
      <c r="I87" s="12" t="n">
        <v>0.8207995184</v>
      </c>
      <c r="J87" s="9" t="n">
        <f aca="false">IFERROR(H87-I87,"(NULL)")</f>
        <v>-0.0269195184</v>
      </c>
      <c r="K87" s="12" t="n">
        <v>0.666666666666667</v>
      </c>
      <c r="L87" s="12" t="n">
        <v>0.8082191781</v>
      </c>
      <c r="M87" s="9" t="n">
        <f aca="false">IFERROR(K87-L87,"(NULL)")</f>
        <v>-0.141552511433333</v>
      </c>
      <c r="N87" s="12" t="n">
        <v>0.0215214148732154</v>
      </c>
      <c r="O87" s="12" t="n">
        <v>0.0611152139</v>
      </c>
      <c r="P87" s="9" t="n">
        <f aca="false">IFERROR(N87-O87,"(NULL)")</f>
        <v>-0.0395937990267846</v>
      </c>
    </row>
    <row r="90" customFormat="false" ht="13.5" hidden="false" customHeight="true" outlineLevel="0" collapsed="false">
      <c r="B90" s="2" t="s">
        <v>106</v>
      </c>
    </row>
    <row r="91" customFormat="false" ht="13.5" hidden="false" customHeight="true" outlineLevel="0" collapsed="false">
      <c r="B91" s="5" t="s">
        <v>3</v>
      </c>
      <c r="C91" s="39" t="n">
        <v>0</v>
      </c>
      <c r="D91" s="39" t="n">
        <v>0</v>
      </c>
      <c r="E91" s="39" t="n">
        <v>0</v>
      </c>
    </row>
    <row r="92" customFormat="false" ht="27" hidden="false" customHeight="true" outlineLevel="0" collapsed="false">
      <c r="B92" s="34" t="s">
        <v>4</v>
      </c>
      <c r="C92" s="34" t="n">
        <v>0</v>
      </c>
      <c r="D92" s="34" t="n">
        <v>0</v>
      </c>
      <c r="E92" s="34" t="n">
        <v>0</v>
      </c>
      <c r="F92" s="34" t="s">
        <v>107</v>
      </c>
      <c r="G92" s="34" t="s">
        <v>108</v>
      </c>
    </row>
    <row r="93" customFormat="false" ht="13" hidden="false" customHeight="true" outlineLevel="0" collapsed="false">
      <c r="B93" s="7" t="s">
        <v>15</v>
      </c>
      <c r="C93" s="17" t="n">
        <v>0</v>
      </c>
      <c r="D93" s="17" t="n">
        <v>4</v>
      </c>
      <c r="E93" s="17" t="n">
        <v>0</v>
      </c>
      <c r="F93" s="17" t="n">
        <f aca="false">SUM(C93:E93)</f>
        <v>4</v>
      </c>
      <c r="G93" s="9" t="n">
        <f aca="false">IFERROR(C93/F93,"-")</f>
        <v>0</v>
      </c>
    </row>
    <row r="94" customFormat="false" ht="13" hidden="false" customHeight="true" outlineLevel="0" collapsed="false">
      <c r="B94" s="7" t="s">
        <v>13</v>
      </c>
      <c r="C94" s="17" t="n">
        <v>0</v>
      </c>
      <c r="D94" s="17" t="n">
        <v>0</v>
      </c>
      <c r="E94" s="17" t="n">
        <v>0</v>
      </c>
      <c r="F94" s="17" t="n">
        <f aca="false">SUM(C94:E94)</f>
        <v>0</v>
      </c>
      <c r="G94" s="9" t="str">
        <f aca="false">IFERROR(C94/F94,"-")</f>
        <v>-</v>
      </c>
    </row>
    <row r="95" customFormat="false" ht="13" hidden="false" customHeight="true" outlineLevel="0" collapsed="false">
      <c r="B95" s="7" t="s">
        <v>14</v>
      </c>
      <c r="C95" s="17" t="n">
        <v>0</v>
      </c>
      <c r="D95" s="17" t="n">
        <v>0</v>
      </c>
      <c r="E95" s="17" t="n">
        <v>0</v>
      </c>
      <c r="F95" s="17" t="n">
        <f aca="false">SUM(C95:E95)</f>
        <v>0</v>
      </c>
      <c r="G95" s="9" t="str">
        <f aca="false">IFERROR(C95/F95,"-")</f>
        <v>-</v>
      </c>
    </row>
    <row r="96" customFormat="false" ht="13" hidden="false" customHeight="true" outlineLevel="0" collapsed="false">
      <c r="B96" s="7" t="s">
        <v>16</v>
      </c>
      <c r="C96" s="17" t="n">
        <v>0</v>
      </c>
      <c r="D96" s="17" t="n">
        <v>0</v>
      </c>
      <c r="E96" s="17" t="n">
        <v>0</v>
      </c>
      <c r="F96" s="17" t="n">
        <f aca="false">SUM(C96:E96)</f>
        <v>0</v>
      </c>
      <c r="G96" s="9" t="str">
        <f aca="false">IFERROR(C96/F96,"-")</f>
        <v>-</v>
      </c>
    </row>
    <row r="97" customFormat="false" ht="13" hidden="false" customHeight="true" outlineLevel="0" collapsed="false">
      <c r="B97" s="7" t="s">
        <v>17</v>
      </c>
      <c r="C97" s="17" t="n">
        <v>0</v>
      </c>
      <c r="D97" s="17" t="n">
        <v>0</v>
      </c>
      <c r="E97" s="17" t="n">
        <v>0</v>
      </c>
      <c r="F97" s="17" t="n">
        <f aca="false">SUM(C97:E97)</f>
        <v>0</v>
      </c>
      <c r="G97" s="9" t="str">
        <f aca="false">IFERROR(C97/F97,"-")</f>
        <v>-</v>
      </c>
    </row>
    <row r="98" customFormat="false" ht="13" hidden="false" customHeight="true" outlineLevel="0" collapsed="false">
      <c r="B98" s="7" t="s">
        <v>18</v>
      </c>
      <c r="C98" s="17" t="n">
        <v>0</v>
      </c>
      <c r="D98" s="17" t="n">
        <v>0</v>
      </c>
      <c r="E98" s="17" t="n">
        <v>0</v>
      </c>
      <c r="F98" s="17" t="n">
        <f aca="false">SUM(C98:E98)</f>
        <v>0</v>
      </c>
      <c r="G98" s="9" t="str">
        <f aca="false">IFERROR(C98/F98,"-")</f>
        <v>-</v>
      </c>
    </row>
    <row r="99" customFormat="false" ht="13" hidden="false" customHeight="true" outlineLevel="0" collapsed="false">
      <c r="B99" s="7" t="s">
        <v>105</v>
      </c>
      <c r="C99" s="17" t="n">
        <f aca="false">SUM(C93:C98)</f>
        <v>0</v>
      </c>
      <c r="D99" s="17" t="n">
        <f aca="false">SUM(D93:D98)</f>
        <v>4</v>
      </c>
      <c r="E99" s="17" t="n">
        <f aca="false">SUM(E93:E98)</f>
        <v>0</v>
      </c>
      <c r="F99" s="17" t="n">
        <f aca="false">SUM(C99:E99)</f>
        <v>4</v>
      </c>
      <c r="G99" s="9" t="n">
        <f aca="false">IFERROR(C99/F99,"-")</f>
        <v>0</v>
      </c>
    </row>
    <row r="100" customFormat="false" ht="13.5" hidden="false" customHeight="true" outlineLevel="0" collapsed="false">
      <c r="B100" s="2"/>
    </row>
    <row r="101" customFormat="false" ht="13.5" hidden="false" customHeight="true" outlineLevel="0" collapsed="false">
      <c r="B101" s="2" t="s">
        <v>109</v>
      </c>
    </row>
    <row r="102" customFormat="false" ht="14" hidden="false" customHeight="true" outlineLevel="0" collapsed="false">
      <c r="B102" s="34" t="s">
        <v>4</v>
      </c>
      <c r="C102" s="38" t="s">
        <v>21</v>
      </c>
      <c r="D102" s="38"/>
      <c r="E102" s="38"/>
      <c r="F102" s="38"/>
      <c r="G102" s="38"/>
      <c r="H102" s="43" t="s">
        <v>22</v>
      </c>
      <c r="I102" s="43"/>
      <c r="J102" s="43"/>
      <c r="K102" s="43"/>
      <c r="L102" s="43"/>
      <c r="M102" s="38" t="s">
        <v>23</v>
      </c>
      <c r="N102" s="38"/>
      <c r="O102" s="38"/>
      <c r="P102" s="38"/>
      <c r="Q102" s="38"/>
      <c r="R102" s="43" t="s">
        <v>24</v>
      </c>
      <c r="S102" s="43"/>
      <c r="T102" s="43"/>
      <c r="U102" s="43"/>
      <c r="V102" s="43"/>
      <c r="W102" s="38" t="s">
        <v>25</v>
      </c>
      <c r="X102" s="38"/>
      <c r="Y102" s="38"/>
      <c r="Z102" s="38"/>
      <c r="AA102" s="38"/>
      <c r="AB102" s="43" t="s">
        <v>26</v>
      </c>
      <c r="AC102" s="43"/>
      <c r="AD102" s="43"/>
      <c r="AE102" s="43"/>
      <c r="AF102" s="43"/>
      <c r="AG102" s="38" t="s">
        <v>27</v>
      </c>
      <c r="AH102" s="38"/>
      <c r="AI102" s="38"/>
      <c r="AJ102" s="38"/>
      <c r="AK102" s="38"/>
    </row>
    <row r="103" customFormat="false" ht="27" hidden="false" customHeight="true" outlineLevel="0" collapsed="false">
      <c r="B103" s="34"/>
      <c r="C103" s="34" t="s">
        <v>110</v>
      </c>
      <c r="D103" s="34" t="s">
        <v>111</v>
      </c>
      <c r="E103" s="34" t="s">
        <v>112</v>
      </c>
      <c r="F103" s="34" t="s">
        <v>107</v>
      </c>
      <c r="G103" s="34" t="s">
        <v>108</v>
      </c>
      <c r="H103" s="35" t="s">
        <v>110</v>
      </c>
      <c r="I103" s="35" t="s">
        <v>111</v>
      </c>
      <c r="J103" s="35" t="s">
        <v>112</v>
      </c>
      <c r="K103" s="35" t="s">
        <v>107</v>
      </c>
      <c r="L103" s="35" t="s">
        <v>108</v>
      </c>
      <c r="M103" s="34" t="s">
        <v>110</v>
      </c>
      <c r="N103" s="34" t="s">
        <v>111</v>
      </c>
      <c r="O103" s="34" t="s">
        <v>112</v>
      </c>
      <c r="P103" s="34" t="s">
        <v>107</v>
      </c>
      <c r="Q103" s="34" t="s">
        <v>108</v>
      </c>
      <c r="R103" s="35" t="s">
        <v>110</v>
      </c>
      <c r="S103" s="35" t="s">
        <v>111</v>
      </c>
      <c r="T103" s="35" t="s">
        <v>112</v>
      </c>
      <c r="U103" s="35" t="s">
        <v>107</v>
      </c>
      <c r="V103" s="35" t="s">
        <v>108</v>
      </c>
      <c r="W103" s="34" t="s">
        <v>110</v>
      </c>
      <c r="X103" s="34" t="s">
        <v>111</v>
      </c>
      <c r="Y103" s="34" t="s">
        <v>112</v>
      </c>
      <c r="Z103" s="34" t="s">
        <v>107</v>
      </c>
      <c r="AA103" s="34" t="s">
        <v>108</v>
      </c>
      <c r="AB103" s="35" t="s">
        <v>110</v>
      </c>
      <c r="AC103" s="35" t="s">
        <v>111</v>
      </c>
      <c r="AD103" s="35" t="s">
        <v>112</v>
      </c>
      <c r="AE103" s="35" t="s">
        <v>107</v>
      </c>
      <c r="AF103" s="35" t="s">
        <v>108</v>
      </c>
      <c r="AG103" s="34" t="s">
        <v>110</v>
      </c>
      <c r="AH103" s="34" t="s">
        <v>111</v>
      </c>
      <c r="AI103" s="34" t="s">
        <v>112</v>
      </c>
      <c r="AJ103" s="34" t="s">
        <v>107</v>
      </c>
      <c r="AK103" s="34" t="s">
        <v>108</v>
      </c>
    </row>
    <row r="104" customFormat="false" ht="13" hidden="false" customHeight="true" outlineLevel="0" collapsed="false">
      <c r="B104" s="7" t="s">
        <v>15</v>
      </c>
      <c r="C104" s="17" t="n">
        <f aca="false">C93+H104+M104+R104+W104+AB104+AG104</f>
        <v>1</v>
      </c>
      <c r="D104" s="17" t="n">
        <f aca="false">D93+I104+N104+S104+X104+AC104+AH104</f>
        <v>4</v>
      </c>
      <c r="E104" s="17" t="n">
        <f aca="false">E93+J104+O104+T104+Y104+AD104+AI104</f>
        <v>0</v>
      </c>
      <c r="F104" s="17" t="n">
        <f aca="false">F93+K104+P104+U104+Z104+AE104+AJ104</f>
        <v>5</v>
      </c>
      <c r="G104" s="9" t="n">
        <f aca="false">IFERROR(C104/F104,"-")</f>
        <v>0.2</v>
      </c>
      <c r="H104" s="17" t="n">
        <v>0</v>
      </c>
      <c r="I104" s="17" t="n">
        <v>0</v>
      </c>
      <c r="J104" s="17" t="n">
        <v>0</v>
      </c>
      <c r="K104" s="17" t="n">
        <f aca="false">SUM(H104:J104)</f>
        <v>0</v>
      </c>
      <c r="L104" s="9" t="str">
        <f aca="false">IFERROR(H104/K104,"-")</f>
        <v>-</v>
      </c>
      <c r="M104" s="17" t="n">
        <v>1</v>
      </c>
      <c r="N104" s="17" t="n">
        <v>0</v>
      </c>
      <c r="O104" s="17" t="n">
        <v>0</v>
      </c>
      <c r="P104" s="17" t="n">
        <f aca="false">SUM(M104:O104)</f>
        <v>1</v>
      </c>
      <c r="Q104" s="9" t="n">
        <f aca="false">IFERROR(M104/P104,"-")</f>
        <v>1</v>
      </c>
      <c r="R104" s="17" t="n">
        <v>0</v>
      </c>
      <c r="S104" s="17" t="n">
        <v>0</v>
      </c>
      <c r="T104" s="17" t="n">
        <v>0</v>
      </c>
      <c r="U104" s="17" t="n">
        <f aca="false">SUM(R104:T104)</f>
        <v>0</v>
      </c>
      <c r="V104" s="9" t="str">
        <f aca="false">IFERROR(R104/U104,"-")</f>
        <v>-</v>
      </c>
      <c r="W104" s="17" t="n">
        <v>0</v>
      </c>
      <c r="X104" s="17" t="n">
        <v>0</v>
      </c>
      <c r="Y104" s="17" t="n">
        <v>0</v>
      </c>
      <c r="Z104" s="17" t="n">
        <f aca="false">SUM(W104:Y104)</f>
        <v>0</v>
      </c>
      <c r="AA104" s="9" t="str">
        <f aca="false">IFERROR(W104/Z104,"-")</f>
        <v>-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9" t="str">
        <f aca="false">IFERROR(AB104/AE104,"-")</f>
        <v>-</v>
      </c>
      <c r="AG104" s="17" t="n">
        <v>0</v>
      </c>
      <c r="AH104" s="17" t="n">
        <v>0</v>
      </c>
      <c r="AI104" s="17" t="n">
        <v>0</v>
      </c>
      <c r="AJ104" s="17" t="n">
        <f aca="false">SUM(AG104:AI104)</f>
        <v>0</v>
      </c>
      <c r="AK104" s="9" t="str">
        <f aca="false">IFERROR(AG104/AJ104,"-")</f>
        <v>-</v>
      </c>
    </row>
    <row r="105" customFormat="false" ht="13" hidden="false" customHeight="true" outlineLevel="0" collapsed="false">
      <c r="B105" s="7" t="s">
        <v>13</v>
      </c>
      <c r="C105" s="17" t="n">
        <f aca="false">C94+H105+M105+R105+W105+AB105+AG105</f>
        <v>15</v>
      </c>
      <c r="D105" s="17" t="n">
        <f aca="false">D94+I105+N105+S105+X105+AC105+AH105</f>
        <v>19</v>
      </c>
      <c r="E105" s="17" t="n">
        <f aca="false">E94+J105+O105+T105+Y105+AD105+AI105</f>
        <v>1</v>
      </c>
      <c r="F105" s="17" t="n">
        <f aca="false">F94+K105+P105+U105+Z105+AE105+AJ105</f>
        <v>35</v>
      </c>
      <c r="G105" s="9" t="n">
        <f aca="false">IFERROR(C105/F105,"-")</f>
        <v>0.428571428571429</v>
      </c>
      <c r="H105" s="17" t="n">
        <v>15</v>
      </c>
      <c r="I105" s="17" t="n">
        <v>17</v>
      </c>
      <c r="J105" s="17" t="n">
        <v>1</v>
      </c>
      <c r="K105" s="17" t="n">
        <f aca="false">SUM(H105:J105)</f>
        <v>33</v>
      </c>
      <c r="L105" s="9" t="n">
        <f aca="false">IFERROR(H105/K105,"-")</f>
        <v>0.454545454545455</v>
      </c>
      <c r="M105" s="17" t="n">
        <v>0</v>
      </c>
      <c r="N105" s="17" t="n">
        <v>2</v>
      </c>
      <c r="O105" s="17" t="n">
        <v>0</v>
      </c>
      <c r="P105" s="17" t="n">
        <f aca="false">SUM(M105:O105)</f>
        <v>2</v>
      </c>
      <c r="Q105" s="9" t="n">
        <f aca="false">IFERROR(M105/P105,"-")</f>
        <v>0</v>
      </c>
      <c r="R105" s="17" t="n">
        <v>0</v>
      </c>
      <c r="S105" s="17" t="n">
        <v>0</v>
      </c>
      <c r="T105" s="17" t="n">
        <v>0</v>
      </c>
      <c r="U105" s="17" t="n">
        <f aca="false">SUM(R105:T105)</f>
        <v>0</v>
      </c>
      <c r="V105" s="9" t="str">
        <f aca="false">IFERROR(R105/U105,"-")</f>
        <v>-</v>
      </c>
      <c r="W105" s="17" t="n">
        <v>0</v>
      </c>
      <c r="X105" s="17" t="n">
        <v>0</v>
      </c>
      <c r="Y105" s="17" t="n">
        <v>0</v>
      </c>
      <c r="Z105" s="17" t="n">
        <f aca="false">SUM(W105:Y105)</f>
        <v>0</v>
      </c>
      <c r="AA105" s="9" t="str">
        <f aca="false">IFERROR(W105/Z105,"-")</f>
        <v>-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9" t="str">
        <f aca="false">IFERROR(AB105/AE105,"-")</f>
        <v>-</v>
      </c>
      <c r="AG105" s="17" t="n">
        <v>0</v>
      </c>
      <c r="AH105" s="17" t="n">
        <v>0</v>
      </c>
      <c r="AI105" s="17" t="n">
        <v>0</v>
      </c>
      <c r="AJ105" s="17" t="n">
        <f aca="false">SUM(AG105:AI105)</f>
        <v>0</v>
      </c>
      <c r="AK105" s="9" t="str">
        <f aca="false">IFERROR(AG105/AJ105,"-")</f>
        <v>-</v>
      </c>
    </row>
    <row r="106" customFormat="false" ht="13" hidden="false" customHeight="true" outlineLevel="0" collapsed="false">
      <c r="B106" s="7" t="s">
        <v>14</v>
      </c>
      <c r="C106" s="17" t="n">
        <f aca="false">C95+H106+M106+R106+W106+AB106+AG106</f>
        <v>4</v>
      </c>
      <c r="D106" s="17" t="n">
        <f aca="false">D95+I106+N106+S106+X106+AC106+AH106</f>
        <v>2</v>
      </c>
      <c r="E106" s="17" t="n">
        <f aca="false">E95+J106+O106+T106+Y106+AD106+AI106</f>
        <v>1</v>
      </c>
      <c r="F106" s="17" t="n">
        <f aca="false">F95+K106+P106+U106+Z106+AE106+AJ106</f>
        <v>7</v>
      </c>
      <c r="G106" s="9" t="n">
        <f aca="false">IFERROR(C106/F106,"-")</f>
        <v>0.571428571428571</v>
      </c>
      <c r="H106" s="17" t="n">
        <v>1</v>
      </c>
      <c r="I106" s="17" t="n">
        <v>0</v>
      </c>
      <c r="J106" s="17" t="n">
        <v>0</v>
      </c>
      <c r="K106" s="17" t="n">
        <f aca="false">SUM(H106:J106)</f>
        <v>1</v>
      </c>
      <c r="L106" s="9" t="n">
        <f aca="false">IFERROR(H106/K106,"-")</f>
        <v>1</v>
      </c>
      <c r="M106" s="17" t="n">
        <v>0</v>
      </c>
      <c r="N106" s="17" t="n">
        <v>2</v>
      </c>
      <c r="O106" s="17" t="n">
        <v>1</v>
      </c>
      <c r="P106" s="17" t="n">
        <f aca="false">SUM(M106:O106)</f>
        <v>3</v>
      </c>
      <c r="Q106" s="9" t="n">
        <f aca="false">IFERROR(M106/P106,"-")</f>
        <v>0</v>
      </c>
      <c r="R106" s="17" t="n">
        <v>3</v>
      </c>
      <c r="S106" s="17" t="n">
        <v>0</v>
      </c>
      <c r="T106" s="17" t="n">
        <v>0</v>
      </c>
      <c r="U106" s="17" t="n">
        <f aca="false">SUM(R106:T106)</f>
        <v>3</v>
      </c>
      <c r="V106" s="9" t="n">
        <f aca="false">IFERROR(R106/U106,"-")</f>
        <v>1</v>
      </c>
      <c r="W106" s="17" t="n">
        <v>0</v>
      </c>
      <c r="X106" s="17" t="n">
        <v>0</v>
      </c>
      <c r="Y106" s="17" t="n">
        <v>0</v>
      </c>
      <c r="Z106" s="17" t="n">
        <f aca="false">SUM(W106:Y106)</f>
        <v>0</v>
      </c>
      <c r="AA106" s="9" t="str">
        <f aca="false">IFERROR(W106/Z106,"-")</f>
        <v>-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9" t="str">
        <f aca="false">IFERROR(AB106/AE106,"-")</f>
        <v>-</v>
      </c>
      <c r="AG106" s="17" t="n">
        <v>0</v>
      </c>
      <c r="AH106" s="17" t="n">
        <v>0</v>
      </c>
      <c r="AI106" s="17" t="n">
        <v>0</v>
      </c>
      <c r="AJ106" s="17" t="n">
        <f aca="false">SUM(AG106:AI106)</f>
        <v>0</v>
      </c>
      <c r="AK106" s="9" t="str">
        <f aca="false">IFERROR(AG106/AJ106,"-")</f>
        <v>-</v>
      </c>
    </row>
    <row r="107" customFormat="false" ht="13" hidden="false" customHeight="true" outlineLevel="0" collapsed="false">
      <c r="B107" s="7" t="s">
        <v>16</v>
      </c>
      <c r="C107" s="17" t="n">
        <f aca="false">C96+H107+M107+R107+W107+AB107+AG107</f>
        <v>3</v>
      </c>
      <c r="D107" s="17" t="n">
        <f aca="false">D96+I107+N107+S107+X107+AC107+AH107</f>
        <v>1</v>
      </c>
      <c r="E107" s="17" t="n">
        <f aca="false">E96+J107+O107+T107+Y107+AD107+AI107</f>
        <v>0</v>
      </c>
      <c r="F107" s="17" t="n">
        <f aca="false">F96+K107+P107+U107+Z107+AE107+AJ107</f>
        <v>4</v>
      </c>
      <c r="G107" s="9" t="n">
        <f aca="false">IFERROR(C107/F107,"-")</f>
        <v>0.75</v>
      </c>
      <c r="H107" s="17" t="n">
        <v>1</v>
      </c>
      <c r="I107" s="17" t="n">
        <v>1</v>
      </c>
      <c r="J107" s="17" t="n">
        <v>0</v>
      </c>
      <c r="K107" s="17" t="n">
        <f aca="false">SUM(H107:J107)</f>
        <v>2</v>
      </c>
      <c r="L107" s="9" t="n">
        <f aca="false">IFERROR(H107/K107,"-")</f>
        <v>0.5</v>
      </c>
      <c r="M107" s="17" t="n">
        <v>1</v>
      </c>
      <c r="N107" s="17" t="n">
        <v>0</v>
      </c>
      <c r="O107" s="17" t="n">
        <v>0</v>
      </c>
      <c r="P107" s="17" t="n">
        <f aca="false">SUM(M107:O107)</f>
        <v>1</v>
      </c>
      <c r="Q107" s="9" t="n">
        <f aca="false">IFERROR(M107/P107,"-")</f>
        <v>1</v>
      </c>
      <c r="R107" s="17" t="n">
        <v>1</v>
      </c>
      <c r="S107" s="17" t="n">
        <v>0</v>
      </c>
      <c r="T107" s="17" t="n">
        <v>0</v>
      </c>
      <c r="U107" s="17" t="n">
        <f aca="false">SUM(R107:T107)</f>
        <v>1</v>
      </c>
      <c r="V107" s="9" t="n">
        <f aca="false">IFERROR(R107/U107,"-")</f>
        <v>1</v>
      </c>
      <c r="W107" s="17" t="n">
        <v>0</v>
      </c>
      <c r="X107" s="17" t="n">
        <v>0</v>
      </c>
      <c r="Y107" s="17" t="n">
        <v>0</v>
      </c>
      <c r="Z107" s="17" t="n">
        <f aca="false">SUM(W107:Y107)</f>
        <v>0</v>
      </c>
      <c r="AA107" s="9" t="str">
        <f aca="false">IFERROR(W107/Z107,"-")</f>
        <v>-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9" t="str">
        <f aca="false">IFERROR(AB107/AE107,"-")</f>
        <v>-</v>
      </c>
      <c r="AG107" s="17" t="n">
        <v>0</v>
      </c>
      <c r="AH107" s="17" t="n">
        <v>0</v>
      </c>
      <c r="AI107" s="17" t="n">
        <v>0</v>
      </c>
      <c r="AJ107" s="17" t="n">
        <f aca="false">SUM(AG107:AI107)</f>
        <v>0</v>
      </c>
      <c r="AK107" s="9" t="str">
        <f aca="false">IFERROR(AG107/AJ107,"-")</f>
        <v>-</v>
      </c>
    </row>
    <row r="108" customFormat="false" ht="13" hidden="false" customHeight="true" outlineLevel="0" collapsed="false">
      <c r="B108" s="7" t="s">
        <v>17</v>
      </c>
      <c r="C108" s="17" t="n">
        <f aca="false">C97+H108+M108+R108+W108+AB108+AG108</f>
        <v>0</v>
      </c>
      <c r="D108" s="17" t="n">
        <f aca="false">D97+I108+N108+S108+X108+AC108+AH108</f>
        <v>0</v>
      </c>
      <c r="E108" s="17" t="n">
        <f aca="false">E97+J108+O108+T108+Y108+AD108+AI108</f>
        <v>0</v>
      </c>
      <c r="F108" s="17" t="n">
        <f aca="false">F97+K108+P108+U108+Z108+AE108+AJ108</f>
        <v>0</v>
      </c>
      <c r="G108" s="9" t="str">
        <f aca="false">IFERROR(C108/F108,"-")</f>
        <v>-</v>
      </c>
      <c r="H108" s="17" t="n">
        <v>0</v>
      </c>
      <c r="I108" s="17" t="n">
        <v>0</v>
      </c>
      <c r="J108" s="17" t="n">
        <v>0</v>
      </c>
      <c r="K108" s="17" t="n">
        <f aca="false">SUM(H108:J108)</f>
        <v>0</v>
      </c>
      <c r="L108" s="9" t="str">
        <f aca="false">IFERROR(H108/K108,"-")</f>
        <v>-</v>
      </c>
      <c r="M108" s="17" t="n">
        <v>0</v>
      </c>
      <c r="N108" s="17" t="n">
        <v>0</v>
      </c>
      <c r="O108" s="17" t="n">
        <v>0</v>
      </c>
      <c r="P108" s="17" t="n">
        <f aca="false">SUM(M108:O108)</f>
        <v>0</v>
      </c>
      <c r="Q108" s="9" t="str">
        <f aca="false">IFERROR(M108/P108,"-")</f>
        <v>-</v>
      </c>
      <c r="R108" s="17" t="n">
        <v>0</v>
      </c>
      <c r="S108" s="17" t="n">
        <v>0</v>
      </c>
      <c r="T108" s="17" t="n">
        <v>0</v>
      </c>
      <c r="U108" s="17" t="n">
        <f aca="false">SUM(R108:T108)</f>
        <v>0</v>
      </c>
      <c r="V108" s="9" t="str">
        <f aca="false">IFERROR(R108/U108,"-")</f>
        <v>-</v>
      </c>
      <c r="W108" s="17" t="n">
        <v>0</v>
      </c>
      <c r="X108" s="17" t="n">
        <v>0</v>
      </c>
      <c r="Y108" s="17" t="n">
        <v>0</v>
      </c>
      <c r="Z108" s="17" t="n">
        <f aca="false">SUM(W108:Y108)</f>
        <v>0</v>
      </c>
      <c r="AA108" s="9" t="str">
        <f aca="false">IFERROR(W108/Z108,"-")</f>
        <v>-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9" t="str">
        <f aca="false">IFERROR(AB108/AE108,"-")</f>
        <v>-</v>
      </c>
      <c r="AG108" s="17" t="n">
        <v>0</v>
      </c>
      <c r="AH108" s="17" t="n">
        <v>0</v>
      </c>
      <c r="AI108" s="17" t="n">
        <v>0</v>
      </c>
      <c r="AJ108" s="17" t="n">
        <f aca="false">SUM(AG108:AI108)</f>
        <v>0</v>
      </c>
      <c r="AK108" s="9" t="str">
        <f aca="false">IFERROR(AG108/AJ108,"-")</f>
        <v>-</v>
      </c>
    </row>
    <row r="109" customFormat="false" ht="13" hidden="false" customHeight="true" outlineLevel="0" collapsed="false">
      <c r="B109" s="7" t="s">
        <v>18</v>
      </c>
      <c r="C109" s="17" t="n">
        <f aca="false">C98+H109+M109+R109+W109+AB109+AG109</f>
        <v>1</v>
      </c>
      <c r="D109" s="17" t="n">
        <f aca="false">D98+I109+N109+S109+X109+AC109+AH109</f>
        <v>1</v>
      </c>
      <c r="E109" s="17" t="n">
        <f aca="false">E98+J109+O109+T109+Y109+AD109+AI109</f>
        <v>0</v>
      </c>
      <c r="F109" s="17" t="n">
        <f aca="false">F98+K109+P109+U109+Z109+AE109+AJ109</f>
        <v>2</v>
      </c>
      <c r="G109" s="9" t="n">
        <f aca="false">IFERROR(C109/F109,"-")</f>
        <v>0.5</v>
      </c>
      <c r="H109" s="17" t="n">
        <v>0</v>
      </c>
      <c r="I109" s="17" t="n">
        <v>1</v>
      </c>
      <c r="J109" s="17" t="n">
        <v>0</v>
      </c>
      <c r="K109" s="17" t="n">
        <f aca="false">SUM(H109:J109)</f>
        <v>1</v>
      </c>
      <c r="L109" s="9" t="n">
        <f aca="false">IFERROR(H109/K109,"-")</f>
        <v>0</v>
      </c>
      <c r="M109" s="17" t="n">
        <v>1</v>
      </c>
      <c r="N109" s="17" t="n">
        <v>0</v>
      </c>
      <c r="O109" s="17" t="n">
        <v>0</v>
      </c>
      <c r="P109" s="17" t="n">
        <f aca="false">SUM(M109:O109)</f>
        <v>1</v>
      </c>
      <c r="Q109" s="9" t="n">
        <f aca="false">IFERROR(M109/P109,"-")</f>
        <v>1</v>
      </c>
      <c r="R109" s="17" t="n">
        <v>0</v>
      </c>
      <c r="S109" s="17" t="n">
        <v>0</v>
      </c>
      <c r="T109" s="17" t="n">
        <v>0</v>
      </c>
      <c r="U109" s="17" t="n">
        <f aca="false">SUM(R109:T109)</f>
        <v>0</v>
      </c>
      <c r="V109" s="9" t="str">
        <f aca="false">IFERROR(R109/U109,"-")</f>
        <v>-</v>
      </c>
      <c r="W109" s="17" t="n">
        <v>0</v>
      </c>
      <c r="X109" s="17" t="n">
        <v>0</v>
      </c>
      <c r="Y109" s="17" t="n">
        <v>0</v>
      </c>
      <c r="Z109" s="17" t="n">
        <f aca="false">SUM(W109:Y109)</f>
        <v>0</v>
      </c>
      <c r="AA109" s="9" t="str">
        <f aca="false">IFERROR(W109/Z109,"-")</f>
        <v>-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9" t="str">
        <f aca="false">IFERROR(AB109/AE109,"-")</f>
        <v>-</v>
      </c>
      <c r="AG109" s="17" t="n">
        <v>0</v>
      </c>
      <c r="AH109" s="17" t="n">
        <v>0</v>
      </c>
      <c r="AI109" s="17" t="n">
        <v>0</v>
      </c>
      <c r="AJ109" s="17" t="n">
        <f aca="false">SUM(AG109:AI109)</f>
        <v>0</v>
      </c>
      <c r="AK109" s="9" t="str">
        <f aca="false">IFERROR(AG109/AJ109,"-")</f>
        <v>-</v>
      </c>
    </row>
    <row r="110" customFormat="false" ht="13" hidden="false" customHeight="true" outlineLevel="0" collapsed="false">
      <c r="B110" s="7" t="s">
        <v>105</v>
      </c>
      <c r="C110" s="17" t="n">
        <f aca="false">C99+H110+M110+R110+W110+AB110+AG110</f>
        <v>24</v>
      </c>
      <c r="D110" s="17" t="n">
        <f aca="false">D99+I110+N110+S110+X110+AC110+AH110</f>
        <v>27</v>
      </c>
      <c r="E110" s="17" t="n">
        <f aca="false">E99+J110+O110+T110+Y110+AD110+AI110</f>
        <v>2</v>
      </c>
      <c r="F110" s="17" t="n">
        <f aca="false">F99+K110+P110+U110+Z110+AE110+AJ110</f>
        <v>53</v>
      </c>
      <c r="G110" s="9" t="n">
        <f aca="false">IFERROR(C110/F110,"-")</f>
        <v>0.452830188679245</v>
      </c>
      <c r="H110" s="17" t="n">
        <f aca="false">SUM(H104:H109)</f>
        <v>17</v>
      </c>
      <c r="I110" s="17" t="n">
        <f aca="false">SUM(I104:I109)</f>
        <v>19</v>
      </c>
      <c r="J110" s="17" t="n">
        <f aca="false">SUM(J104:J109)</f>
        <v>1</v>
      </c>
      <c r="K110" s="17" t="n">
        <f aca="false">SUM(H110:J110)</f>
        <v>37</v>
      </c>
      <c r="L110" s="9" t="n">
        <f aca="false">IFERROR(H110/K110,"-")</f>
        <v>0.45945945945946</v>
      </c>
      <c r="M110" s="17" t="n">
        <f aca="false">SUM(M104:M109)</f>
        <v>3</v>
      </c>
      <c r="N110" s="17" t="n">
        <f aca="false">SUM(N104:N109)</f>
        <v>4</v>
      </c>
      <c r="O110" s="17" t="n">
        <f aca="false">SUM(O104:O109)</f>
        <v>1</v>
      </c>
      <c r="P110" s="17" t="n">
        <f aca="false">SUM(M110:O110)</f>
        <v>8</v>
      </c>
      <c r="Q110" s="9" t="n">
        <f aca="false">IFERROR(M110/P110,"-")</f>
        <v>0.375</v>
      </c>
      <c r="R110" s="17" t="n">
        <v>4</v>
      </c>
      <c r="S110" s="17" t="n">
        <v>0</v>
      </c>
      <c r="T110" s="17" t="n">
        <v>0</v>
      </c>
      <c r="U110" s="17" t="n">
        <f aca="false">SUM(R110:T110)</f>
        <v>4</v>
      </c>
      <c r="V110" s="9" t="n">
        <f aca="false">IFERROR(R110/U110,"-")</f>
        <v>1</v>
      </c>
      <c r="W110" s="17" t="n">
        <v>0</v>
      </c>
      <c r="X110" s="17" t="n">
        <v>0</v>
      </c>
      <c r="Y110" s="17" t="n">
        <v>0</v>
      </c>
      <c r="Z110" s="17" t="n">
        <f aca="false">SUM(W110:Y110)</f>
        <v>0</v>
      </c>
      <c r="AA110" s="9" t="str">
        <f aca="false">IFERROR(W110/Z110,"-")</f>
        <v>-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9" t="str">
        <f aca="false">IFERROR(AB110/AE110,"-")</f>
        <v>-</v>
      </c>
      <c r="AG110" s="17" t="n">
        <v>0</v>
      </c>
      <c r="AH110" s="17" t="n">
        <v>0</v>
      </c>
      <c r="AI110" s="17" t="n">
        <v>0</v>
      </c>
      <c r="AJ110" s="17" t="n">
        <f aca="false">SUM(AG110:AI110)</f>
        <v>0</v>
      </c>
      <c r="AK110" s="9" t="str">
        <f aca="false">IFERROR(AG110/AJ110,"-")</f>
        <v>-</v>
      </c>
    </row>
    <row r="113" customFormat="false" ht="13.5" hidden="false" customHeight="true" outlineLevel="0" collapsed="false">
      <c r="B113" s="2" t="s">
        <v>113</v>
      </c>
    </row>
    <row r="114" customFormat="false" ht="13.5" hidden="false" customHeight="true" outlineLevel="0" collapsed="false">
      <c r="B114" s="5" t="s">
        <v>3</v>
      </c>
      <c r="C114" s="4" t="s">
        <v>114</v>
      </c>
      <c r="K114" s="44"/>
    </row>
    <row r="115" customFormat="false" ht="13.5" hidden="false" customHeight="true" outlineLevel="0" collapsed="false">
      <c r="B115" s="34" t="s">
        <v>4</v>
      </c>
      <c r="C115" s="6" t="s">
        <v>5</v>
      </c>
      <c r="D115" s="6" t="s">
        <v>6</v>
      </c>
      <c r="E115" s="6" t="s">
        <v>7</v>
      </c>
      <c r="F115" s="6" t="s">
        <v>8</v>
      </c>
      <c r="G115" s="6" t="s">
        <v>9</v>
      </c>
      <c r="H115" s="6" t="s">
        <v>115</v>
      </c>
      <c r="I115" s="6" t="s">
        <v>116</v>
      </c>
      <c r="K115" s="44"/>
    </row>
    <row r="116" customFormat="false" ht="13.5" hidden="false" customHeight="true" outlineLevel="0" collapsed="false">
      <c r="B116" s="7" t="s">
        <v>105</v>
      </c>
      <c r="C116" s="8" t="n">
        <f aca="false">SUM(C117:C119)</f>
        <v>5330303.15420214</v>
      </c>
      <c r="D116" s="8" t="n">
        <f aca="false">SUM(D117:D119)</f>
        <v>259956.3</v>
      </c>
      <c r="E116" s="9" t="n">
        <f aca="false">D116/C116</f>
        <v>0.048769515068775</v>
      </c>
      <c r="F116" s="8" t="n">
        <f aca="false">SUM(F117:F119)</f>
        <v>742686.66</v>
      </c>
      <c r="G116" s="9" t="n">
        <f aca="false">D116/F116-1</f>
        <v>-0.649978498334681</v>
      </c>
      <c r="H116" s="8" t="n">
        <f aca="false">SUM(H117:H119)</f>
        <v>4987710.70856549</v>
      </c>
      <c r="I116" s="9" t="n">
        <f aca="false">D116/H116</f>
        <v>0.052119362005814</v>
      </c>
      <c r="K116" s="44"/>
    </row>
    <row r="117" customFormat="false" ht="13" hidden="false" customHeight="true" outlineLevel="0" collapsed="false">
      <c r="B117" s="7" t="s">
        <v>15</v>
      </c>
      <c r="C117" s="8" t="n">
        <v>1705697.00934468</v>
      </c>
      <c r="D117" s="8" t="n">
        <v>79161.15</v>
      </c>
      <c r="E117" s="9" t="n">
        <f aca="false">D117/C117</f>
        <v>0.0464098544854771</v>
      </c>
      <c r="F117" s="8" t="n">
        <v>360445.58</v>
      </c>
      <c r="G117" s="9" t="n">
        <f aca="false">D117/F117-1</f>
        <v>-0.780379745536067</v>
      </c>
      <c r="H117" s="8" t="n">
        <f aca="false">C117*H12/C12</f>
        <v>1596067.42674096</v>
      </c>
      <c r="I117" s="9" t="n">
        <f aca="false">D117/H117</f>
        <v>0.0495976226779096</v>
      </c>
    </row>
    <row r="118" customFormat="false" ht="13" hidden="false" customHeight="true" outlineLevel="0" collapsed="false">
      <c r="B118" s="7" t="s">
        <v>13</v>
      </c>
      <c r="C118" s="8" t="n">
        <v>2665151.57710107</v>
      </c>
      <c r="D118" s="8" t="n">
        <v>180795.15</v>
      </c>
      <c r="E118" s="9" t="n">
        <f aca="false">D118/C118</f>
        <v>0.0678367232668447</v>
      </c>
      <c r="F118" s="8" t="n">
        <v>377869.71</v>
      </c>
      <c r="G118" s="9" t="n">
        <f aca="false">D118/F118-1</f>
        <v>-0.521541035930083</v>
      </c>
      <c r="H118" s="8" t="n">
        <f aca="false">C118*H12/C12</f>
        <v>2493855.35428275</v>
      </c>
      <c r="I118" s="9" t="n">
        <f aca="false">D118/H118</f>
        <v>0.0724962454977659</v>
      </c>
    </row>
    <row r="119" customFormat="false" ht="13" hidden="false" customHeight="true" outlineLevel="0" collapsed="false">
      <c r="B119" s="7" t="s">
        <v>14</v>
      </c>
      <c r="C119" s="8" t="n">
        <v>959454.567756386</v>
      </c>
      <c r="D119" s="8" t="n">
        <v>0</v>
      </c>
      <c r="E119" s="9" t="n">
        <f aca="false">D119/C119</f>
        <v>0</v>
      </c>
      <c r="F119" s="8" t="n">
        <v>4371.37</v>
      </c>
      <c r="G119" s="9" t="n">
        <f aca="false">D119/F119-1</f>
        <v>-1</v>
      </c>
      <c r="H119" s="8" t="n">
        <f aca="false">C119*H12/C12</f>
        <v>897787.92754179</v>
      </c>
      <c r="I119" s="9" t="n">
        <f aca="false">D119/H119</f>
        <v>0</v>
      </c>
    </row>
    <row r="121" customFormat="false" ht="13.5" hidden="false" customHeight="true" outlineLevel="0" collapsed="false">
      <c r="B121" s="2" t="s">
        <v>20</v>
      </c>
    </row>
    <row r="122" customFormat="false" ht="14" hidden="false" customHeight="true" outlineLevel="0" collapsed="false">
      <c r="B122" s="34" t="s">
        <v>4</v>
      </c>
      <c r="C122" s="31" t="s">
        <v>21</v>
      </c>
      <c r="D122" s="31"/>
      <c r="E122" s="31"/>
      <c r="F122" s="31"/>
      <c r="G122" s="31"/>
      <c r="H122" s="14" t="s">
        <v>22</v>
      </c>
      <c r="I122" s="14"/>
      <c r="J122" s="14"/>
      <c r="K122" s="14"/>
      <c r="L122" s="14"/>
      <c r="M122" s="13" t="s">
        <v>23</v>
      </c>
      <c r="N122" s="13"/>
      <c r="O122" s="13"/>
      <c r="P122" s="13"/>
      <c r="Q122" s="13"/>
      <c r="R122" s="14" t="s">
        <v>24</v>
      </c>
      <c r="S122" s="14"/>
      <c r="T122" s="14"/>
      <c r="U122" s="14"/>
      <c r="V122" s="14"/>
      <c r="W122" s="13" t="s">
        <v>25</v>
      </c>
      <c r="X122" s="13"/>
      <c r="Y122" s="13"/>
      <c r="Z122" s="13"/>
      <c r="AA122" s="13"/>
      <c r="AB122" s="14" t="s">
        <v>26</v>
      </c>
      <c r="AC122" s="14"/>
      <c r="AD122" s="14"/>
      <c r="AE122" s="14"/>
      <c r="AF122" s="14"/>
      <c r="AG122" s="13" t="s">
        <v>27</v>
      </c>
      <c r="AH122" s="13"/>
      <c r="AI122" s="13"/>
      <c r="AJ122" s="13"/>
      <c r="AK122" s="13"/>
    </row>
    <row r="123" customFormat="false" ht="13.5" hidden="false" customHeight="true" outlineLevel="0" collapsed="false">
      <c r="B123" s="34"/>
      <c r="C123" s="13" t="s">
        <v>28</v>
      </c>
      <c r="D123" s="13" t="s">
        <v>29</v>
      </c>
      <c r="E123" s="13" t="s">
        <v>30</v>
      </c>
      <c r="F123" s="13" t="s">
        <v>31</v>
      </c>
      <c r="G123" s="13" t="s">
        <v>32</v>
      </c>
      <c r="H123" s="14" t="s">
        <v>33</v>
      </c>
      <c r="I123" s="14" t="s">
        <v>34</v>
      </c>
      <c r="J123" s="14" t="s">
        <v>35</v>
      </c>
      <c r="K123" s="15" t="s">
        <v>8</v>
      </c>
      <c r="L123" s="15" t="s">
        <v>9</v>
      </c>
      <c r="M123" s="13" t="s">
        <v>36</v>
      </c>
      <c r="N123" s="13" t="s">
        <v>37</v>
      </c>
      <c r="O123" s="13" t="s">
        <v>38</v>
      </c>
      <c r="P123" s="6" t="s">
        <v>8</v>
      </c>
      <c r="Q123" s="6" t="s">
        <v>9</v>
      </c>
      <c r="R123" s="14" t="s">
        <v>39</v>
      </c>
      <c r="S123" s="14" t="s">
        <v>40</v>
      </c>
      <c r="T123" s="14" t="s">
        <v>41</v>
      </c>
      <c r="U123" s="15" t="s">
        <v>8</v>
      </c>
      <c r="V123" s="15" t="s">
        <v>9</v>
      </c>
      <c r="W123" s="13" t="s">
        <v>42</v>
      </c>
      <c r="X123" s="13" t="s">
        <v>43</v>
      </c>
      <c r="Y123" s="13" t="s">
        <v>44</v>
      </c>
      <c r="Z123" s="6" t="s">
        <v>8</v>
      </c>
      <c r="AA123" s="6" t="s">
        <v>9</v>
      </c>
      <c r="AB123" s="14" t="s">
        <v>45</v>
      </c>
      <c r="AC123" s="14" t="s">
        <v>46</v>
      </c>
      <c r="AD123" s="14" t="s">
        <v>47</v>
      </c>
      <c r="AE123" s="15" t="s">
        <v>8</v>
      </c>
      <c r="AF123" s="15" t="s">
        <v>9</v>
      </c>
      <c r="AG123" s="13" t="s">
        <v>48</v>
      </c>
      <c r="AH123" s="13" t="s">
        <v>49</v>
      </c>
      <c r="AI123" s="13" t="s">
        <v>50</v>
      </c>
      <c r="AJ123" s="6" t="s">
        <v>8</v>
      </c>
      <c r="AK123" s="6" t="s">
        <v>9</v>
      </c>
    </row>
    <row r="124" customFormat="false" ht="13" hidden="false" customHeight="true" outlineLevel="0" collapsed="false">
      <c r="B124" s="7" t="s">
        <v>105</v>
      </c>
      <c r="C124" s="8" t="n">
        <f aca="false">SUM(C125:C127)</f>
        <v>41652616.7984323</v>
      </c>
      <c r="D124" s="8" t="n">
        <f aca="false">SUM(D125:D127)</f>
        <v>6761972.22</v>
      </c>
      <c r="E124" s="9" t="n">
        <f aca="false">D124/C124</f>
        <v>0.162342074514139</v>
      </c>
      <c r="F124" s="8" t="n">
        <f aca="false">SUM(F125:F127)</f>
        <v>8485257.29</v>
      </c>
      <c r="G124" s="9" t="n">
        <f aca="false">D124/F124-1</f>
        <v>-0.203091669598624</v>
      </c>
      <c r="H124" s="8" t="n">
        <v>5747034.29584542</v>
      </c>
      <c r="I124" s="8" t="n">
        <f aca="false">SUM(I125:I127)</f>
        <v>845779</v>
      </c>
      <c r="J124" s="9" t="n">
        <f aca="false">I124/H124</f>
        <v>0.147167905472814</v>
      </c>
      <c r="K124" s="8" t="n">
        <f aca="false">SUM(K125:K127)</f>
        <v>799685</v>
      </c>
      <c r="L124" s="9" t="n">
        <f aca="false">I124/K124-1</f>
        <v>0.0576401958271069</v>
      </c>
      <c r="M124" s="8" t="n">
        <v>5230006.03568873</v>
      </c>
      <c r="N124" s="8" t="n">
        <f aca="false">SUM(N125:N127)</f>
        <v>730436</v>
      </c>
      <c r="O124" s="9" t="n">
        <f aca="false">N124/M124</f>
        <v>0.139662553927399</v>
      </c>
      <c r="P124" s="8" t="n">
        <f aca="false">SUM(P125:P127)</f>
        <v>1339073</v>
      </c>
      <c r="Q124" s="9" t="n">
        <f aca="false">N124/P124-1</f>
        <v>-0.454521150079197</v>
      </c>
      <c r="R124" s="8" t="n">
        <v>7095165.87472315</v>
      </c>
      <c r="S124" s="8" t="n">
        <f aca="false">SUM(S125:S127)</f>
        <v>1233361</v>
      </c>
      <c r="T124" s="9" t="n">
        <f aca="false">S124/R124</f>
        <v>0.173831172065181</v>
      </c>
      <c r="U124" s="8" t="n">
        <f aca="false">SUM(U125:U127)</f>
        <v>1427333</v>
      </c>
      <c r="V124" s="9" t="n">
        <f aca="false">S124/U124-1</f>
        <v>-0.135898210158386</v>
      </c>
      <c r="W124" s="8" t="n">
        <f aca="false">SUM(W125:W127)</f>
        <v>6787221.21582434</v>
      </c>
      <c r="X124" s="8" t="n">
        <f aca="false">SUM(X125:X127)</f>
        <v>1506893.66</v>
      </c>
      <c r="Y124" s="9" t="n">
        <f aca="false">X124/W124</f>
        <v>0.222019234688666</v>
      </c>
      <c r="Z124" s="8" t="n">
        <f aca="false">SUM(Z125:Z127)</f>
        <v>1409640.61</v>
      </c>
      <c r="AA124" s="9" t="n">
        <f aca="false">X124/Z124-1</f>
        <v>0.0689913792991537</v>
      </c>
      <c r="AB124" s="8" t="n">
        <f aca="false">SUM(AB125:AB127)</f>
        <v>6929463.97156346</v>
      </c>
      <c r="AC124" s="8" t="n">
        <f aca="false">SUM(AC125:AC127)</f>
        <v>1331898.44</v>
      </c>
      <c r="AD124" s="9" t="n">
        <f aca="false">AC124/AB124</f>
        <v>0.192208004178351</v>
      </c>
      <c r="AE124" s="8" t="n">
        <f aca="false">SUM(AE125:AE127)</f>
        <v>1583363.2</v>
      </c>
      <c r="AF124" s="9" t="n">
        <f aca="false">AC124/AE124-1</f>
        <v>-0.158816852633685</v>
      </c>
      <c r="AG124" s="8" t="n">
        <f aca="false">SUM(AG125:AG127)</f>
        <v>4876014.69622174</v>
      </c>
      <c r="AH124" s="8" t="n">
        <f aca="false">SUM(AH125:AH127)</f>
        <v>853647.82</v>
      </c>
      <c r="AI124" s="9" t="n">
        <f aca="false">AH124/AG124</f>
        <v>0.175070805397995</v>
      </c>
      <c r="AJ124" s="8" t="n">
        <f aca="false">SUM(AJ125:AJ127)</f>
        <v>1183475.82</v>
      </c>
      <c r="AK124" s="9" t="n">
        <f aca="false">AH124/AJ124-1</f>
        <v>-0.278694329386468</v>
      </c>
    </row>
    <row r="125" customFormat="false" ht="13" hidden="false" customHeight="true" outlineLevel="0" collapsed="false">
      <c r="B125" s="7" t="s">
        <v>15</v>
      </c>
      <c r="C125" s="8" t="n">
        <f aca="false">H125+H117+M125+R125+W125+AB125+AG125</f>
        <v>13328837.3754984</v>
      </c>
      <c r="D125" s="8" t="n">
        <f aca="false">I125+D117+N125+S125+X125+AC125+AH125</f>
        <v>2587844.48</v>
      </c>
      <c r="E125" s="9" t="n">
        <f aca="false">D125/C125</f>
        <v>0.194153804048738</v>
      </c>
      <c r="F125" s="8" t="n">
        <f aca="false">K125+F117+P125+U125+Z125+AE125+AJ125</f>
        <v>2627588.77</v>
      </c>
      <c r="G125" s="9" t="n">
        <f aca="false">D125/F125-1</f>
        <v>-0.0151257649042243</v>
      </c>
      <c r="H125" s="8" t="n">
        <v>1839050.97467054</v>
      </c>
      <c r="I125" s="8" t="n">
        <v>543948</v>
      </c>
      <c r="J125" s="9" t="n">
        <f aca="false">I125/H125</f>
        <v>0.295776467042979</v>
      </c>
      <c r="K125" s="8" t="n">
        <v>493939</v>
      </c>
      <c r="L125" s="9" t="n">
        <f aca="false">I125/K125-1</f>
        <v>0.101245295471708</v>
      </c>
      <c r="M125" s="8" t="n">
        <v>1673601.93142039</v>
      </c>
      <c r="N125" s="8" t="n">
        <v>363354</v>
      </c>
      <c r="O125" s="9" t="n">
        <f aca="false">N125/M125</f>
        <v>0.217108975066503</v>
      </c>
      <c r="P125" s="8" t="n">
        <v>695613</v>
      </c>
      <c r="Q125" s="9" t="n">
        <f aca="false">N125/P125-1</f>
        <v>-0.477649210121145</v>
      </c>
      <c r="R125" s="8" t="n">
        <v>2270453.07991141</v>
      </c>
      <c r="S125" s="8" t="n">
        <v>462400</v>
      </c>
      <c r="T125" s="9" t="n">
        <f aca="false">S125/R125</f>
        <v>0.203659791118891</v>
      </c>
      <c r="U125" s="8" t="n">
        <v>193409</v>
      </c>
      <c r="V125" s="9" t="n">
        <f aca="false">S125/U125-1</f>
        <v>1.39078843280302</v>
      </c>
      <c r="W125" s="8" t="n">
        <v>2171910.78906379</v>
      </c>
      <c r="X125" s="8" t="n">
        <v>567045.51</v>
      </c>
      <c r="Y125" s="9" t="n">
        <f aca="false">X125/W125</f>
        <v>0.261081400237635</v>
      </c>
      <c r="Z125" s="8" t="n">
        <v>299838.7</v>
      </c>
      <c r="AA125" s="9" t="n">
        <f aca="false">X125/Z125-1</f>
        <v>0.891168518273325</v>
      </c>
      <c r="AB125" s="8" t="n">
        <v>2217428.47090031</v>
      </c>
      <c r="AC125" s="8" t="n">
        <v>302341.3</v>
      </c>
      <c r="AD125" s="9" t="n">
        <f aca="false">AC125/AB125</f>
        <v>0.136347712662517</v>
      </c>
      <c r="AE125" s="8" t="n">
        <v>433835.86</v>
      </c>
      <c r="AF125" s="9" t="n">
        <f aca="false">AC125/AE125-1</f>
        <v>-0.303097489451425</v>
      </c>
      <c r="AG125" s="8" t="n">
        <v>1560324.70279096</v>
      </c>
      <c r="AH125" s="8" t="n">
        <v>269594.52</v>
      </c>
      <c r="AI125" s="9" t="n">
        <f aca="false">AH125/AG125</f>
        <v>0.172781036868656</v>
      </c>
      <c r="AJ125" s="8" t="n">
        <v>150507.63</v>
      </c>
      <c r="AK125" s="9" t="n">
        <f aca="false">AH125/AJ125-1</f>
        <v>0.791234902841803</v>
      </c>
    </row>
    <row r="126" customFormat="false" ht="13" hidden="false" customHeight="true" outlineLevel="0" collapsed="false">
      <c r="B126" s="7" t="s">
        <v>13</v>
      </c>
      <c r="C126" s="8" t="n">
        <f aca="false">H126+H118+M126+R126+W126+AB126+AG126</f>
        <v>20826308.3992162</v>
      </c>
      <c r="D126" s="8" t="n">
        <f aca="false">I126+D118+N126+S126+X126+AC126+AH126</f>
        <v>3990323.02</v>
      </c>
      <c r="E126" s="9" t="n">
        <f aca="false">D126/C126</f>
        <v>0.191600111911825</v>
      </c>
      <c r="F126" s="8" t="n">
        <f aca="false">K126+F118+P126+U126+Z126+AE126+AJ126</f>
        <v>4278197.87</v>
      </c>
      <c r="G126" s="9" t="n">
        <f aca="false">D126/F126-1</f>
        <v>-0.0672888114920217</v>
      </c>
      <c r="H126" s="8" t="n">
        <v>2873517.14792271</v>
      </c>
      <c r="I126" s="8" t="n">
        <v>228668</v>
      </c>
      <c r="J126" s="9" t="n">
        <f aca="false">I126/H126</f>
        <v>0.0795777398319359</v>
      </c>
      <c r="K126" s="8"/>
      <c r="L126" s="9" t="str">
        <f aca="false">IFERROR(I126/K126-1,"")</f>
        <v/>
      </c>
      <c r="M126" s="8" t="n">
        <v>2615003.01784436</v>
      </c>
      <c r="N126" s="8" t="n">
        <v>332027</v>
      </c>
      <c r="O126" s="9" t="n">
        <f aca="false">N126/M126</f>
        <v>0.126970025554197</v>
      </c>
      <c r="P126" s="8" t="n">
        <v>59893</v>
      </c>
      <c r="Q126" s="9" t="n">
        <f aca="false">N126/P126-1</f>
        <v>4.54366954402017</v>
      </c>
      <c r="R126" s="8" t="n">
        <v>3547582.93736157</v>
      </c>
      <c r="S126" s="8" t="n">
        <v>714665</v>
      </c>
      <c r="T126" s="9" t="n">
        <f aca="false">S126/R126</f>
        <v>0.201451245148765</v>
      </c>
      <c r="U126" s="8" t="n">
        <v>843867</v>
      </c>
      <c r="V126" s="9" t="n">
        <f aca="false">S126/U126-1</f>
        <v>-0.153107065449887</v>
      </c>
      <c r="W126" s="8" t="n">
        <v>3393610.60791217</v>
      </c>
      <c r="X126" s="8" t="n">
        <v>926447.93</v>
      </c>
      <c r="Y126" s="9" t="n">
        <f aca="false">X126/W126</f>
        <v>0.272997711593662</v>
      </c>
      <c r="Z126" s="8" t="n">
        <v>919084.22</v>
      </c>
      <c r="AA126" s="9" t="n">
        <f aca="false">X126/Z126-1</f>
        <v>0.0080120078658299</v>
      </c>
      <c r="AB126" s="8" t="n">
        <v>3464731.98578173</v>
      </c>
      <c r="AC126" s="8" t="n">
        <v>1024408.64</v>
      </c>
      <c r="AD126" s="9" t="n">
        <f aca="false">AC126/AB126</f>
        <v>0.295667498728294</v>
      </c>
      <c r="AE126" s="8" t="n">
        <v>1089877.47</v>
      </c>
      <c r="AF126" s="9" t="n">
        <f aca="false">AC126/AE126-1</f>
        <v>-0.0600698994172253</v>
      </c>
      <c r="AG126" s="8" t="n">
        <v>2438007.34811087</v>
      </c>
      <c r="AH126" s="8" t="n">
        <v>583311.3</v>
      </c>
      <c r="AI126" s="9" t="n">
        <f aca="false">AH126/AG126</f>
        <v>0.239257400291262</v>
      </c>
      <c r="AJ126" s="8" t="n">
        <v>987606.47</v>
      </c>
      <c r="AK126" s="9" t="n">
        <f aca="false">AH126/AJ126-1</f>
        <v>-0.409368693179987</v>
      </c>
    </row>
    <row r="127" customFormat="false" ht="13" hidden="false" customHeight="true" outlineLevel="0" collapsed="false">
      <c r="B127" s="7" t="s">
        <v>14</v>
      </c>
      <c r="C127" s="8" t="n">
        <f aca="false">H127+H119+M127+R127+W127+AB127+AG127</f>
        <v>7497471.02371782</v>
      </c>
      <c r="D127" s="8" t="n">
        <f aca="false">I127+D119+N127+S127+X127+AC127+AH127</f>
        <v>183804.72</v>
      </c>
      <c r="E127" s="9" t="n">
        <f aca="false">D127/C127</f>
        <v>0.0245155625701712</v>
      </c>
      <c r="F127" s="8" t="n">
        <f aca="false">K127+F119+P127+U127+Z127+AE127+AJ127</f>
        <v>1579470.65</v>
      </c>
      <c r="G127" s="9" t="n">
        <f aca="false">D127/F127-1</f>
        <v>-0.883628910736645</v>
      </c>
      <c r="H127" s="8" t="n">
        <v>1034466.17325218</v>
      </c>
      <c r="I127" s="8" t="n">
        <v>73163</v>
      </c>
      <c r="J127" s="9" t="n">
        <f aca="false">I127/H127</f>
        <v>0.0707253672394027</v>
      </c>
      <c r="K127" s="8" t="n">
        <v>305746</v>
      </c>
      <c r="L127" s="9" t="n">
        <f aca="false">I127/K127-1</f>
        <v>-0.760706599595743</v>
      </c>
      <c r="M127" s="8" t="n">
        <v>941401.086423971</v>
      </c>
      <c r="N127" s="8" t="n">
        <v>35055</v>
      </c>
      <c r="O127" s="9" t="n">
        <f aca="false">N127/M127</f>
        <v>0.0372370507167787</v>
      </c>
      <c r="P127" s="8" t="n">
        <v>583567</v>
      </c>
      <c r="Q127" s="9" t="n">
        <f aca="false">N127/P127-1</f>
        <v>-0.939929776700876</v>
      </c>
      <c r="R127" s="8" t="n">
        <v>1277129.85745017</v>
      </c>
      <c r="S127" s="8" t="n">
        <v>56296</v>
      </c>
      <c r="T127" s="9" t="n">
        <f aca="false">S127/R127</f>
        <v>0.0440800907375204</v>
      </c>
      <c r="U127" s="8" t="n">
        <v>390057</v>
      </c>
      <c r="V127" s="9" t="n">
        <f aca="false">S127/U127-1</f>
        <v>-0.855672376088623</v>
      </c>
      <c r="W127" s="8" t="n">
        <v>1221699.81884838</v>
      </c>
      <c r="X127" s="8" t="n">
        <v>13400.22</v>
      </c>
      <c r="Y127" s="9" t="n">
        <f aca="false">X127/W127</f>
        <v>0.0109685045321784</v>
      </c>
      <c r="Z127" s="8" t="n">
        <v>190717.69</v>
      </c>
      <c r="AA127" s="9" t="n">
        <f aca="false">X127/Z127-1</f>
        <v>-0.92973792834844</v>
      </c>
      <c r="AB127" s="8" t="n">
        <v>1247303.51488142</v>
      </c>
      <c r="AC127" s="8" t="n">
        <v>5148.5</v>
      </c>
      <c r="AD127" s="9" t="n">
        <f aca="false">AC127/AB127</f>
        <v>0.00412770423443364</v>
      </c>
      <c r="AE127" s="8" t="n">
        <v>59649.87</v>
      </c>
      <c r="AF127" s="9" t="n">
        <f aca="false">AC127/AE127-1</f>
        <v>-0.913687992949524</v>
      </c>
      <c r="AG127" s="8" t="n">
        <v>877682.645319914</v>
      </c>
      <c r="AH127" s="8" t="n">
        <v>742</v>
      </c>
      <c r="AI127" s="9" t="n">
        <f aca="false">AH127/AG127</f>
        <v>0.000845408079966697</v>
      </c>
      <c r="AJ127" s="8" t="n">
        <v>45361.72</v>
      </c>
      <c r="AK127" s="9" t="n">
        <f aca="false">AH127/AJ127-1</f>
        <v>-0.983642595562955</v>
      </c>
    </row>
    <row r="129" customFormat="false" ht="13.5" hidden="false" customHeight="true" outlineLevel="0" collapsed="false">
      <c r="B129" s="2" t="s">
        <v>117</v>
      </c>
    </row>
    <row r="130" customFormat="false" ht="13.5" hidden="false" customHeight="true" outlineLevel="0" collapsed="false">
      <c r="B130" s="5" t="s">
        <v>3</v>
      </c>
      <c r="C130" s="4" t="s">
        <v>118</v>
      </c>
    </row>
    <row r="131" customFormat="false" ht="13.5" hidden="false" customHeight="true" outlineLevel="0" collapsed="false">
      <c r="B131" s="34" t="s">
        <v>4</v>
      </c>
      <c r="C131" s="6" t="s">
        <v>5</v>
      </c>
      <c r="D131" s="6" t="s">
        <v>6</v>
      </c>
      <c r="E131" s="6" t="s">
        <v>7</v>
      </c>
      <c r="F131" s="6" t="s">
        <v>8</v>
      </c>
      <c r="G131" s="6" t="s">
        <v>9</v>
      </c>
      <c r="H131" s="6" t="s">
        <v>115</v>
      </c>
      <c r="I131" s="6" t="s">
        <v>116</v>
      </c>
    </row>
    <row r="132" customFormat="false" ht="13" hidden="false" customHeight="true" outlineLevel="0" collapsed="false">
      <c r="B132" s="7" t="s">
        <v>105</v>
      </c>
      <c r="C132" s="8" t="n">
        <v>0.203019128835018</v>
      </c>
      <c r="D132" s="8" t="n">
        <v>0.333799</v>
      </c>
      <c r="E132" s="9" t="n">
        <f aca="false">D132/C132</f>
        <v>1.64417511746521</v>
      </c>
      <c r="F132" s="8" t="n">
        <v>2.0376362786555</v>
      </c>
      <c r="G132" s="9" t="n">
        <f aca="false">D132/F132-1</f>
        <v>-0.836183226861149</v>
      </c>
      <c r="H132" s="8" t="n">
        <f aca="false">SUM(H133:H135)</f>
        <v>24992113.1646802</v>
      </c>
      <c r="I132" s="12" t="n">
        <v>7673062.86206897</v>
      </c>
      <c r="J132" s="39" t="n">
        <v>1482908.325064</v>
      </c>
    </row>
    <row r="133" customFormat="false" ht="13" hidden="false" customHeight="true" outlineLevel="0" collapsed="false">
      <c r="B133" s="7" t="s">
        <v>15</v>
      </c>
      <c r="C133" s="8" t="n">
        <v>0.0074680784267923</v>
      </c>
      <c r="D133" s="8" t="n">
        <v>0.0287326608018543</v>
      </c>
      <c r="E133" s="9" t="n">
        <f aca="false">D133/C133</f>
        <v>3.84739676792543</v>
      </c>
      <c r="F133" s="8" t="n">
        <v>2.9061</v>
      </c>
      <c r="G133" s="9" t="n">
        <f aca="false">D133/F133-1</f>
        <v>-0.990112982759762</v>
      </c>
      <c r="H133" s="8" t="n">
        <f aca="false">C133*H12/C12</f>
        <v>0.00698808560491611</v>
      </c>
      <c r="I133" s="12" t="n">
        <v>11419110</v>
      </c>
      <c r="J133" s="1" t="n">
        <v>5345956.69091</v>
      </c>
    </row>
    <row r="134" customFormat="false" ht="13" hidden="false" customHeight="true" outlineLevel="0" collapsed="false">
      <c r="B134" s="7" t="s">
        <v>13</v>
      </c>
      <c r="C134" s="8" t="n">
        <v>1413193.74949892</v>
      </c>
      <c r="D134" s="8" t="n">
        <v>521141.55</v>
      </c>
      <c r="E134" s="9" t="n">
        <f aca="false">D134/C134</f>
        <v>0.368768649157118</v>
      </c>
      <c r="F134" s="8" t="n">
        <v>303834.57</v>
      </c>
      <c r="G134" s="9" t="n">
        <f aca="false">D134/F134-1</f>
        <v>0.71521479599902</v>
      </c>
      <c r="H134" s="8" t="n">
        <f aca="false">C134*H12/C12</f>
        <v>1322364.1120856</v>
      </c>
      <c r="I134" s="12" t="n">
        <f aca="false">D134/H134</f>
        <v>0.394098376715675</v>
      </c>
    </row>
    <row r="135" customFormat="false" ht="13" hidden="false" customHeight="true" outlineLevel="0" collapsed="false">
      <c r="B135" s="7" t="s">
        <v>14</v>
      </c>
      <c r="C135" s="8" t="n">
        <v>25295560.5023965</v>
      </c>
      <c r="D135" s="8" t="n">
        <v>9187479.37</v>
      </c>
      <c r="E135" s="9" t="n">
        <f aca="false">D135/C135</f>
        <v>0.36320521022373</v>
      </c>
      <c r="F135" s="8" t="n">
        <v>11601360.87</v>
      </c>
      <c r="G135" s="9" t="n">
        <f aca="false">D135/F135-1</f>
        <v>-0.208068822877673</v>
      </c>
      <c r="H135" s="8" t="n">
        <f aca="false">C135*H12/C12</f>
        <v>23669749.0456065</v>
      </c>
      <c r="I135" s="12" t="n">
        <f aca="false">D135/H135</f>
        <v>0.388152800111979</v>
      </c>
    </row>
    <row r="137" customFormat="false" ht="13.5" hidden="false" customHeight="true" outlineLevel="0" collapsed="false">
      <c r="B137" s="2" t="s">
        <v>20</v>
      </c>
    </row>
    <row r="138" customFormat="false" ht="14" hidden="false" customHeight="true" outlineLevel="0" collapsed="false">
      <c r="B138" s="34" t="s">
        <v>4</v>
      </c>
      <c r="C138" s="31" t="s">
        <v>21</v>
      </c>
      <c r="D138" s="31"/>
      <c r="E138" s="31"/>
      <c r="F138" s="31"/>
      <c r="G138" s="31"/>
      <c r="H138" s="14" t="s">
        <v>119</v>
      </c>
      <c r="I138" s="14"/>
      <c r="J138" s="14"/>
      <c r="K138" s="14"/>
      <c r="L138" s="14"/>
    </row>
    <row r="139" customFormat="false" ht="13.5" hidden="false" customHeight="true" outlineLevel="0" collapsed="false">
      <c r="B139" s="34"/>
      <c r="C139" s="13" t="s">
        <v>28</v>
      </c>
      <c r="D139" s="13" t="s">
        <v>29</v>
      </c>
      <c r="E139" s="13" t="s">
        <v>30</v>
      </c>
      <c r="F139" s="13" t="s">
        <v>31</v>
      </c>
      <c r="G139" s="13" t="s">
        <v>32</v>
      </c>
      <c r="H139" s="14" t="s">
        <v>120</v>
      </c>
      <c r="I139" s="14" t="s">
        <v>121</v>
      </c>
      <c r="J139" s="14" t="s">
        <v>122</v>
      </c>
      <c r="K139" s="15" t="s">
        <v>8</v>
      </c>
      <c r="L139" s="15" t="s">
        <v>9</v>
      </c>
    </row>
    <row r="140" customFormat="false" ht="13" hidden="false" customHeight="true" outlineLevel="0" collapsed="false">
      <c r="B140" s="7" t="s">
        <v>105</v>
      </c>
      <c r="C140" s="8" t="n">
        <f aca="false">SUM(C141:C143)</f>
        <v>24992113.1646802</v>
      </c>
      <c r="D140" s="8" t="n">
        <f aca="false">SUM(D141:D143)</f>
        <v>9708620.94873266</v>
      </c>
      <c r="E140" s="9" t="n">
        <f aca="false">D140/C140</f>
        <v>0.388467389082299</v>
      </c>
      <c r="F140" s="8" t="n">
        <f aca="false">SUM(F141:F143)</f>
        <v>11905198.3461</v>
      </c>
      <c r="G140" s="9" t="n">
        <f aca="false">D140/F140-1</f>
        <v>-0.184505737200667</v>
      </c>
      <c r="H140" s="8" t="n">
        <f aca="false">SUM(H141:H143)</f>
        <v>0</v>
      </c>
      <c r="I140" s="8" t="n">
        <f aca="false">SUM(I141:I143)</f>
        <v>0</v>
      </c>
      <c r="J140" s="9" t="str">
        <f aca="false">IFERROR(I140/H140,"")</f>
        <v/>
      </c>
      <c r="K140" s="8" t="n">
        <f aca="false">SUM(K141:K143)</f>
        <v>0</v>
      </c>
      <c r="L140" s="9" t="str">
        <f aca="false">IFERROR(I140/K140-1,"")</f>
        <v/>
      </c>
    </row>
    <row r="141" customFormat="false" ht="13" hidden="false" customHeight="true" outlineLevel="0" collapsed="false">
      <c r="B141" s="7" t="s">
        <v>15</v>
      </c>
      <c r="C141" s="8" t="n">
        <f aca="false">H141+H133+M141+R141+W141+AB141+AG141</f>
        <v>0.00698808560491611</v>
      </c>
      <c r="D141" s="8" t="n">
        <f aca="false">I141+D133+N141+S141+X141+AC141+AH141</f>
        <v>0.0287326608018543</v>
      </c>
      <c r="E141" s="9" t="n">
        <f aca="false">D141/C141</f>
        <v>4.11166411322164</v>
      </c>
      <c r="F141" s="8" t="n">
        <f aca="false">K141+F133+P141+U141+Z141+AE141+AJ141</f>
        <v>2.9061</v>
      </c>
      <c r="G141" s="9" t="n">
        <f aca="false">D141/F141-1</f>
        <v>-0.990112982759762</v>
      </c>
      <c r="H141" s="8"/>
      <c r="I141" s="8"/>
      <c r="J141" s="9" t="str">
        <f aca="false">IFERROR(I141/H141,"")</f>
        <v/>
      </c>
      <c r="K141" s="8"/>
      <c r="L141" s="9" t="str">
        <f aca="false">IFERROR(I141/K141-1,"")</f>
        <v/>
      </c>
    </row>
    <row r="142" customFormat="false" ht="13" hidden="false" customHeight="true" outlineLevel="0" collapsed="false">
      <c r="B142" s="7" t="s">
        <v>13</v>
      </c>
      <c r="C142" s="8" t="n">
        <f aca="false">H142+H134+M142+R142+W142+AB142+AG142</f>
        <v>1322364.1120856</v>
      </c>
      <c r="D142" s="8" t="n">
        <f aca="false">I142+D134+N142+S142+X142+AC142+AH142</f>
        <v>521141.55</v>
      </c>
      <c r="E142" s="9" t="n">
        <f aca="false">D142/C142</f>
        <v>0.394098376715675</v>
      </c>
      <c r="F142" s="8" t="n">
        <f aca="false">K142+F134+P142+U142+Z142+AE142+AJ142</f>
        <v>303834.57</v>
      </c>
      <c r="G142" s="9" t="n">
        <f aca="false">D142/F142-1</f>
        <v>0.71521479599902</v>
      </c>
      <c r="H142" s="8"/>
      <c r="I142" s="8"/>
      <c r="J142" s="9" t="str">
        <f aca="false">IFERROR(I142/H142,"")</f>
        <v/>
      </c>
      <c r="K142" s="8"/>
      <c r="L142" s="9" t="str">
        <f aca="false">IFERROR(I142/K142-1,"")</f>
        <v/>
      </c>
    </row>
    <row r="143" customFormat="false" ht="13" hidden="false" customHeight="true" outlineLevel="0" collapsed="false">
      <c r="B143" s="7" t="s">
        <v>14</v>
      </c>
      <c r="C143" s="8" t="n">
        <f aca="false">H143+H135+M143+R143+W143+AB143+AG143</f>
        <v>23669749.0456065</v>
      </c>
      <c r="D143" s="8" t="n">
        <f aca="false">I143+D135+N143+S143+X143+AC143+AH143</f>
        <v>9187479.37</v>
      </c>
      <c r="E143" s="9" t="n">
        <f aca="false">D143/C143</f>
        <v>0.388152800111979</v>
      </c>
      <c r="F143" s="8" t="n">
        <f aca="false">K143+F135+P143+U143+Z143+AE143+AJ143</f>
        <v>11601360.87</v>
      </c>
      <c r="G143" s="9" t="n">
        <f aca="false">D143/F143-1</f>
        <v>-0.208068822877673</v>
      </c>
      <c r="H143" s="8"/>
      <c r="I143" s="8"/>
      <c r="J143" s="9" t="str">
        <f aca="false">IFERROR(I143/H143,"")</f>
        <v/>
      </c>
      <c r="K143" s="8"/>
      <c r="L143" s="9" t="str">
        <f aca="false">IFERROR(I143/K143-1,"")</f>
        <v/>
      </c>
    </row>
    <row r="144" customFormat="false" ht="13" hidden="false" customHeight="true" outlineLevel="0" collapsed="false">
      <c r="C144" s="18"/>
      <c r="D144" s="18"/>
      <c r="E144" s="9"/>
      <c r="F144" s="18"/>
      <c r="G144" s="9"/>
    </row>
    <row r="145" customFormat="false" ht="13.5" hidden="false" customHeight="true" outlineLevel="0" collapsed="false">
      <c r="B145" s="45" t="s">
        <v>123</v>
      </c>
    </row>
    <row r="146" customFormat="false" ht="13.5" hidden="false" customHeight="true" outlineLevel="0" collapsed="false">
      <c r="B146" s="5" t="s">
        <v>3</v>
      </c>
    </row>
    <row r="147" customFormat="false" ht="13.5" hidden="false" customHeight="true" outlineLevel="0" collapsed="false">
      <c r="B147" s="34" t="s">
        <v>4</v>
      </c>
      <c r="C147" s="46" t="s">
        <v>124</v>
      </c>
      <c r="D147" s="46"/>
      <c r="E147" s="31" t="s">
        <v>125</v>
      </c>
      <c r="F147" s="31"/>
      <c r="G147" s="31"/>
      <c r="H147" s="31"/>
    </row>
    <row r="148" customFormat="false" ht="13.5" hidden="false" customHeight="true" outlineLevel="0" collapsed="false">
      <c r="B148" s="34"/>
      <c r="C148" s="46" t="s">
        <v>126</v>
      </c>
      <c r="D148" s="47" t="s">
        <v>127</v>
      </c>
      <c r="E148" s="21" t="s">
        <v>128</v>
      </c>
      <c r="F148" s="21" t="s">
        <v>129</v>
      </c>
      <c r="G148" s="31" t="s">
        <v>130</v>
      </c>
      <c r="H148" s="21" t="s">
        <v>59</v>
      </c>
      <c r="I148" s="48" t="s">
        <v>126</v>
      </c>
      <c r="J148" s="1" t="s">
        <v>131</v>
      </c>
    </row>
    <row r="149" customFormat="false" ht="13" hidden="false" customHeight="true" outlineLevel="0" collapsed="false">
      <c r="B149" s="7" t="s">
        <v>132</v>
      </c>
      <c r="C149" s="49" t="n">
        <v>0.202873372819178</v>
      </c>
      <c r="D149" s="49" t="n">
        <v>0.332511</v>
      </c>
      <c r="E149" s="50" t="n">
        <f aca="false">D149/C149</f>
        <v>1.63900760055076</v>
      </c>
      <c r="F149" s="50" t="n">
        <v>2.0376362786555</v>
      </c>
      <c r="G149" s="9" t="n">
        <f aca="false">E149-F149</f>
        <v>-0.398628678104743</v>
      </c>
      <c r="H149" s="9" t="n">
        <f aca="false">E149/F149</f>
        <v>0.804367107966996</v>
      </c>
      <c r="I149" s="18" t="n">
        <v>7661872.28571429</v>
      </c>
      <c r="J149" s="18" t="n">
        <v>1477101.646112</v>
      </c>
      <c r="K149" s="19" t="s">
        <v>133</v>
      </c>
    </row>
    <row r="150" customFormat="false" ht="13" hidden="false" customHeight="true" outlineLevel="0" collapsed="false">
      <c r="B150" s="7" t="s">
        <v>134</v>
      </c>
      <c r="C150" s="49" t="n">
        <v>0.0074148112277082</v>
      </c>
      <c r="D150" s="49" t="n">
        <v>0.0286358197600143</v>
      </c>
      <c r="E150" s="50" t="n">
        <f aca="false">D150/C150</f>
        <v>3.86197556223763</v>
      </c>
      <c r="F150" s="50" t="n">
        <v>2.9061</v>
      </c>
      <c r="G150" s="9" t="n">
        <f aca="false">E150-F150</f>
        <v>0.955875562237635</v>
      </c>
      <c r="H150" s="9" t="n">
        <f aca="false">E150/F150</f>
        <v>1.32892039580112</v>
      </c>
      <c r="I150" s="18" t="n">
        <v>10927635</v>
      </c>
      <c r="J150" s="18" t="n">
        <v>5139155.54335</v>
      </c>
    </row>
    <row r="152" customFormat="false" ht="13.5" hidden="false" customHeight="true" outlineLevel="0" collapsed="false">
      <c r="B152" s="2" t="s">
        <v>109</v>
      </c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customFormat="false" ht="13.5" hidden="false" customHeight="true" outlineLevel="0" collapsed="false">
      <c r="B153" s="51" t="s">
        <v>52</v>
      </c>
      <c r="C153" s="51" t="s">
        <v>135</v>
      </c>
      <c r="D153" s="52" t="s">
        <v>136</v>
      </c>
      <c r="E153" s="52"/>
      <c r="F153" s="52"/>
      <c r="G153" s="52"/>
      <c r="H153" s="53" t="s">
        <v>137</v>
      </c>
      <c r="I153" s="53"/>
      <c r="J153" s="53"/>
      <c r="K153" s="53"/>
      <c r="W153" s="18"/>
      <c r="X153" s="18"/>
    </row>
    <row r="154" customFormat="false" ht="13.5" hidden="false" customHeight="true" outlineLevel="0" collapsed="false">
      <c r="B154" s="51"/>
      <c r="C154" s="51"/>
      <c r="D154" s="54" t="s">
        <v>126</v>
      </c>
      <c r="E154" s="55" t="s">
        <v>138</v>
      </c>
      <c r="F154" s="56" t="s">
        <v>127</v>
      </c>
      <c r="G154" s="56" t="s">
        <v>139</v>
      </c>
      <c r="H154" s="57" t="s">
        <v>128</v>
      </c>
      <c r="I154" s="58" t="s">
        <v>129</v>
      </c>
      <c r="J154" s="59" t="s">
        <v>140</v>
      </c>
      <c r="K154" s="60" t="s">
        <v>59</v>
      </c>
      <c r="W154" s="18"/>
      <c r="X154" s="18"/>
    </row>
    <row r="155" customFormat="false" ht="13" hidden="false" customHeight="true" outlineLevel="0" collapsed="false">
      <c r="B155" s="61" t="s">
        <v>21</v>
      </c>
      <c r="C155" s="62" t="s">
        <v>132</v>
      </c>
      <c r="D155" s="12" t="n">
        <v>18889646.2295082</v>
      </c>
      <c r="E155" s="12" t="n">
        <v>0.291232403180687</v>
      </c>
      <c r="F155" s="12" t="n">
        <v>3370958.362873</v>
      </c>
      <c r="G155" s="12" t="n">
        <v>0.42709</v>
      </c>
      <c r="H155" s="63" t="n">
        <f aca="false">AVERAGE(H157,H159,H161,H163)</f>
        <v>1.45378054577221</v>
      </c>
      <c r="I155" s="64" t="n">
        <f aca="false">AVERAGE(I157,I159,I161,I163)</f>
        <v>1.50393724229795</v>
      </c>
      <c r="J155" s="9" t="n">
        <f aca="false">H155-I155</f>
        <v>-0.050156696525735</v>
      </c>
      <c r="K155" s="9" t="n">
        <f aca="false">H155/I155</f>
        <v>0.966649741016389</v>
      </c>
      <c r="L155" s="48" t="s">
        <v>141</v>
      </c>
      <c r="W155" s="18"/>
      <c r="X155" s="18"/>
    </row>
    <row r="156" customFormat="false" ht="13" hidden="false" customHeight="true" outlineLevel="0" collapsed="false">
      <c r="B156" s="61"/>
      <c r="C156" s="65" t="s">
        <v>134</v>
      </c>
      <c r="D156" s="12" t="n">
        <v>181189704</v>
      </c>
      <c r="E156" s="12" t="n">
        <v>0.0300987296274929</v>
      </c>
      <c r="F156" s="12" t="n">
        <v>51606641.73804</v>
      </c>
      <c r="G156" s="12" t="n">
        <v>0.0693450001956007</v>
      </c>
      <c r="H156" s="66" t="n">
        <f aca="false">G156/E156</f>
        <v>2.30391784151114</v>
      </c>
      <c r="I156" s="67" t="n">
        <v>2.79780946921157</v>
      </c>
      <c r="J156" s="9" t="n">
        <f aca="false">H156-I156</f>
        <v>-0.493891627700434</v>
      </c>
      <c r="K156" s="9" t="n">
        <f aca="false">H156/I156</f>
        <v>0.823472029408917</v>
      </c>
      <c r="L156" s="48" t="s">
        <v>141</v>
      </c>
      <c r="M156" s="19" t="s">
        <v>142</v>
      </c>
      <c r="W156" s="18"/>
      <c r="X156" s="18"/>
    </row>
    <row r="157" customFormat="false" ht="13" hidden="false" customHeight="true" outlineLevel="0" collapsed="false">
      <c r="B157" s="61" t="n">
        <v>202603</v>
      </c>
      <c r="C157" s="62" t="s">
        <v>132</v>
      </c>
      <c r="D157" s="12" t="n">
        <v>17700703.9354839</v>
      </c>
      <c r="E157" s="12" t="n">
        <v>0.270311745527488</v>
      </c>
      <c r="F157" s="12" t="n">
        <v>3089444.761236</v>
      </c>
      <c r="G157" s="12" t="n">
        <v>0.396076</v>
      </c>
      <c r="H157" s="63" t="n">
        <f aca="false">G157/E157</f>
        <v>1.46525634403009</v>
      </c>
      <c r="I157" s="64" t="n">
        <v>1.6008619859347</v>
      </c>
      <c r="J157" s="9" t="n">
        <f aca="false">H157-I157</f>
        <v>-0.135605641904607</v>
      </c>
      <c r="K157" s="9" t="n">
        <f aca="false">H157/I157</f>
        <v>0.915292109441008</v>
      </c>
      <c r="R157" s="18"/>
      <c r="S157" s="18"/>
      <c r="T157" s="18"/>
      <c r="U157" s="18"/>
      <c r="V157" s="18"/>
      <c r="W157" s="18"/>
      <c r="X157" s="18"/>
    </row>
    <row r="158" customFormat="false" ht="13" hidden="false" customHeight="true" outlineLevel="0" collapsed="false">
      <c r="B158" s="61"/>
      <c r="C158" s="65" t="s">
        <v>134</v>
      </c>
      <c r="D158" s="12" t="s">
        <v>143</v>
      </c>
      <c r="E158" s="12" t="s">
        <v>143</v>
      </c>
      <c r="F158" s="12" t="s">
        <v>143</v>
      </c>
      <c r="G158" s="12" t="s">
        <v>143</v>
      </c>
      <c r="H158" s="66" t="s">
        <v>143</v>
      </c>
      <c r="I158" s="67" t="s">
        <v>143</v>
      </c>
      <c r="J158" s="9" t="s">
        <v>143</v>
      </c>
      <c r="K158" s="9" t="s">
        <v>143</v>
      </c>
      <c r="R158" s="18"/>
      <c r="S158" s="18"/>
      <c r="T158" s="18"/>
      <c r="U158" s="18"/>
      <c r="V158" s="18"/>
      <c r="W158" s="18"/>
      <c r="X158" s="18"/>
    </row>
    <row r="159" customFormat="false" ht="13" hidden="false" customHeight="true" outlineLevel="0" collapsed="false">
      <c r="B159" s="61" t="n">
        <v>202604</v>
      </c>
      <c r="C159" s="62" t="s">
        <v>132</v>
      </c>
      <c r="D159" s="12" t="n">
        <v>21182826.4333333</v>
      </c>
      <c r="E159" s="12" t="n">
        <v>0.307901737951062</v>
      </c>
      <c r="F159" s="12" t="n">
        <v>3685324.542055</v>
      </c>
      <c r="G159" s="12" t="n">
        <v>0.44492</v>
      </c>
      <c r="H159" s="63" t="n">
        <f aca="false">G159/E159</f>
        <v>1.44500645875119</v>
      </c>
      <c r="I159" s="64" t="n">
        <v>1.47558018335552</v>
      </c>
      <c r="J159" s="9" t="n">
        <f aca="false">H159-I159</f>
        <v>-0.0305737246043334</v>
      </c>
      <c r="K159" s="9" t="n">
        <f aca="false">H159/I159</f>
        <v>0.979280201137692</v>
      </c>
      <c r="R159" s="18"/>
      <c r="S159" s="18"/>
      <c r="T159" s="18"/>
      <c r="U159" s="18"/>
      <c r="V159" s="18"/>
      <c r="W159" s="18"/>
      <c r="X159" s="18"/>
    </row>
    <row r="160" customFormat="false" ht="13" hidden="false" customHeight="true" outlineLevel="0" collapsed="false">
      <c r="B160" s="61"/>
      <c r="C160" s="65" t="s">
        <v>134</v>
      </c>
      <c r="D160" s="12" t="n">
        <v>69292171</v>
      </c>
      <c r="E160" s="12" t="n">
        <v>0.033638001976703</v>
      </c>
      <c r="F160" s="12" t="n">
        <v>18399991.36623</v>
      </c>
      <c r="G160" s="12" t="n">
        <v>0.073934174755442</v>
      </c>
      <c r="H160" s="66" t="n">
        <f aca="false">G160/E160</f>
        <v>2.19793597748901</v>
      </c>
      <c r="I160" s="67" t="n">
        <v>2.85466041350075</v>
      </c>
      <c r="J160" s="9" t="n">
        <f aca="false">H160-I160</f>
        <v>-0.656724436011738</v>
      </c>
      <c r="K160" s="9" t="n">
        <f aca="false">H160/I160</f>
        <v>0.769946564254773</v>
      </c>
      <c r="R160" s="18"/>
      <c r="S160" s="18"/>
      <c r="T160" s="18"/>
      <c r="U160" s="18"/>
      <c r="V160" s="18"/>
      <c r="W160" s="18"/>
      <c r="X160" s="18"/>
    </row>
    <row r="161" customFormat="false" ht="13" hidden="false" customHeight="true" outlineLevel="0" collapsed="false">
      <c r="B161" s="61" t="n">
        <v>202605</v>
      </c>
      <c r="C161" s="62" t="s">
        <v>132</v>
      </c>
      <c r="D161" s="12" t="n">
        <v>21012342.6451613</v>
      </c>
      <c r="E161" s="12" t="n">
        <v>0.299572290071605</v>
      </c>
      <c r="F161" s="12" t="n">
        <v>3995314.467162</v>
      </c>
      <c r="G161" s="12" t="n">
        <v>0.446377</v>
      </c>
      <c r="H161" s="63" t="n">
        <f aca="false">G161/E161</f>
        <v>1.49004769397498</v>
      </c>
      <c r="I161" s="64" t="n">
        <v>1.50494626473808</v>
      </c>
      <c r="J161" s="9" t="n">
        <f aca="false">H161-I161</f>
        <v>-0.0148985707630962</v>
      </c>
      <c r="K161" s="9" t="n">
        <f aca="false">H161/I161</f>
        <v>0.990100263968103</v>
      </c>
      <c r="R161" s="18"/>
      <c r="S161" s="18"/>
      <c r="T161" s="18"/>
      <c r="U161" s="18"/>
      <c r="V161" s="18"/>
      <c r="W161" s="18"/>
      <c r="X161" s="18"/>
    </row>
    <row r="162" customFormat="false" ht="13" hidden="false" customHeight="true" outlineLevel="0" collapsed="false">
      <c r="B162" s="61"/>
      <c r="C162" s="65" t="s">
        <v>134</v>
      </c>
      <c r="D162" s="12" t="n">
        <v>71765955</v>
      </c>
      <c r="E162" s="12" t="n">
        <v>0.0330341682896374</v>
      </c>
      <c r="F162" s="12" t="n">
        <v>20920308.51444</v>
      </c>
      <c r="G162" s="12" t="n">
        <v>0.0754567580993333</v>
      </c>
      <c r="H162" s="66" t="n">
        <f aca="false">G162/E162</f>
        <v>2.28420335689225</v>
      </c>
      <c r="I162" s="67" t="n">
        <v>2.84666285411277</v>
      </c>
      <c r="J162" s="9" t="n">
        <f aca="false">H162-I162</f>
        <v>-0.562459497220519</v>
      </c>
      <c r="K162" s="9" t="n">
        <f aca="false">H162/I162</f>
        <v>0.80241443189948</v>
      </c>
      <c r="R162" s="18"/>
      <c r="S162" s="18"/>
      <c r="T162" s="18"/>
      <c r="U162" s="18"/>
      <c r="V162" s="18"/>
      <c r="W162" s="18"/>
      <c r="X162" s="18"/>
    </row>
    <row r="163" customFormat="false" ht="13" hidden="false" customHeight="true" outlineLevel="0" collapsed="false">
      <c r="B163" s="61" t="n">
        <v>202606</v>
      </c>
      <c r="C163" s="62" t="s">
        <v>132</v>
      </c>
      <c r="D163" s="12" t="n">
        <v>15741177.3666667</v>
      </c>
      <c r="E163" s="12" t="n">
        <v>0.286829691838299</v>
      </c>
      <c r="F163" s="12" t="n">
        <v>2717759.051446</v>
      </c>
      <c r="G163" s="12" t="n">
        <v>0.40581</v>
      </c>
      <c r="H163" s="63" t="n">
        <f aca="false">G163/E163</f>
        <v>1.41481168633259</v>
      </c>
      <c r="I163" s="64" t="n">
        <v>1.43436053516349</v>
      </c>
      <c r="J163" s="9" t="n">
        <f aca="false">H163-I163</f>
        <v>-0.0195488488309032</v>
      </c>
      <c r="K163" s="9" t="n">
        <f aca="false">H163/I163</f>
        <v>0.986371035488177</v>
      </c>
      <c r="R163" s="18"/>
      <c r="S163" s="18"/>
      <c r="T163" s="18"/>
      <c r="U163" s="18"/>
      <c r="V163" s="18"/>
      <c r="W163" s="18"/>
      <c r="X163" s="18"/>
    </row>
    <row r="164" customFormat="false" ht="13" hidden="false" customHeight="true" outlineLevel="0" collapsed="false">
      <c r="B164" s="61"/>
      <c r="C164" s="65" t="s">
        <v>134</v>
      </c>
      <c r="D164" s="12" t="n">
        <v>40131578</v>
      </c>
      <c r="E164" s="12" t="n">
        <v>0.0225240662808792</v>
      </c>
      <c r="F164" s="12" t="n">
        <v>12390917.06322</v>
      </c>
      <c r="G164" s="12" t="n">
        <v>0.0567023745470794</v>
      </c>
      <c r="H164" s="66" t="n">
        <f aca="false">G164/E164</f>
        <v>2.517412879184</v>
      </c>
      <c r="I164" s="67" t="n">
        <v>2.67117526071116</v>
      </c>
      <c r="J164" s="9" t="n">
        <f aca="false">H164-I164</f>
        <v>-0.153762381527158</v>
      </c>
      <c r="K164" s="9" t="n">
        <f aca="false">H164/I164</f>
        <v>0.942436430964016</v>
      </c>
      <c r="R164" s="18"/>
      <c r="S164" s="18"/>
      <c r="T164" s="18"/>
      <c r="U164" s="18"/>
      <c r="V164" s="18"/>
      <c r="W164" s="18"/>
      <c r="X164" s="18"/>
    </row>
    <row r="165" customFormat="false" ht="13" hidden="false" customHeight="true" outlineLevel="0" collapsed="false">
      <c r="B165" s="61" t="n">
        <v>202607</v>
      </c>
      <c r="C165" s="62" t="s">
        <v>132</v>
      </c>
      <c r="D165" s="12"/>
      <c r="E165" s="12" t="n">
        <v>0</v>
      </c>
      <c r="F165" s="12"/>
      <c r="G165" s="12" t="n">
        <v>0</v>
      </c>
      <c r="H165" s="63" t="str">
        <f aca="false">IFERROR(G165/E165,"")</f>
        <v/>
      </c>
      <c r="I165" s="64" t="n">
        <v>2.0376362786555</v>
      </c>
      <c r="J165" s="9" t="str">
        <f aca="false">IFERROR(H165-I165,"")</f>
        <v/>
      </c>
      <c r="K165" s="9" t="str">
        <f aca="false">IFERROR(H165/I165,"")</f>
        <v/>
      </c>
      <c r="R165" s="18"/>
      <c r="S165" s="18"/>
      <c r="T165" s="18"/>
      <c r="U165" s="18"/>
      <c r="V165" s="18"/>
      <c r="W165" s="18"/>
      <c r="X165" s="18"/>
    </row>
    <row r="166" customFormat="false" ht="13" hidden="false" customHeight="true" outlineLevel="0" collapsed="false">
      <c r="B166" s="61"/>
      <c r="C166" s="65" t="s">
        <v>134</v>
      </c>
      <c r="D166" s="12"/>
      <c r="E166" s="12"/>
      <c r="F166" s="12"/>
      <c r="G166" s="12"/>
      <c r="H166" s="66"/>
      <c r="I166" s="67" t="n">
        <v>2.90609771914047</v>
      </c>
      <c r="J166" s="9"/>
      <c r="K166" s="9" t="n">
        <f aca="false">H166/I166</f>
        <v>0</v>
      </c>
      <c r="R166" s="18"/>
      <c r="S166" s="18"/>
      <c r="T166" s="18"/>
      <c r="U166" s="18"/>
      <c r="V166" s="18"/>
      <c r="W166" s="18"/>
      <c r="X166" s="18"/>
    </row>
    <row r="167" customFormat="false" ht="13" hidden="false" customHeight="true" outlineLevel="0" collapsed="false">
      <c r="B167" s="61" t="n">
        <v>202608</v>
      </c>
      <c r="C167" s="62" t="s">
        <v>132</v>
      </c>
      <c r="D167" s="12"/>
      <c r="E167" s="12" t="n">
        <v>0</v>
      </c>
      <c r="F167" s="12"/>
      <c r="G167" s="12" t="n">
        <v>0</v>
      </c>
      <c r="H167" s="63" t="str">
        <f aca="false">IFERROR(G167/E167,"")</f>
        <v/>
      </c>
      <c r="I167" s="64" t="n">
        <v>1.9151520405339</v>
      </c>
      <c r="J167" s="9" t="str">
        <f aca="false">IFERROR(H167-I167,"")</f>
        <v/>
      </c>
      <c r="K167" s="9" t="str">
        <f aca="false">IFERROR(H167/I167,"")</f>
        <v/>
      </c>
      <c r="R167" s="18"/>
      <c r="S167" s="18"/>
      <c r="T167" s="18"/>
      <c r="U167" s="18"/>
      <c r="V167" s="18"/>
      <c r="W167" s="18"/>
      <c r="X167" s="18"/>
    </row>
    <row r="168" customFormat="false" ht="13" hidden="false" customHeight="true" outlineLevel="0" collapsed="false">
      <c r="B168" s="61"/>
      <c r="C168" s="65" t="s">
        <v>134</v>
      </c>
      <c r="D168" s="12"/>
      <c r="E168" s="12"/>
      <c r="F168" s="12"/>
      <c r="G168" s="12"/>
      <c r="H168" s="66"/>
      <c r="I168" s="67" t="n">
        <v>2.87240070120358</v>
      </c>
      <c r="J168" s="9"/>
      <c r="K168" s="9" t="n">
        <f aca="false">H168/I168</f>
        <v>0</v>
      </c>
      <c r="R168" s="18"/>
      <c r="S168" s="18"/>
      <c r="T168" s="18"/>
      <c r="U168" s="18"/>
      <c r="V168" s="18"/>
      <c r="W168" s="18"/>
      <c r="X168" s="18"/>
    </row>
    <row r="169" customFormat="false" ht="13" hidden="false" customHeight="true" outlineLevel="0" collapsed="false">
      <c r="B169" s="61" t="n">
        <v>202609</v>
      </c>
      <c r="C169" s="62" t="s">
        <v>132</v>
      </c>
      <c r="D169" s="12"/>
      <c r="E169" s="12" t="n">
        <v>0</v>
      </c>
      <c r="F169" s="12"/>
      <c r="G169" s="12" t="n">
        <v>0</v>
      </c>
      <c r="H169" s="63" t="str">
        <f aca="false">IFERROR(G169/E169,"")</f>
        <v/>
      </c>
      <c r="I169" s="64" t="n">
        <v>2.15089516691016</v>
      </c>
      <c r="J169" s="9" t="str">
        <f aca="false">IFERROR(H169-I169,"")</f>
        <v/>
      </c>
      <c r="K169" s="9" t="str">
        <f aca="false">IFERROR(H169/I169,"")</f>
        <v/>
      </c>
      <c r="R169" s="18"/>
      <c r="S169" s="18"/>
      <c r="T169" s="18"/>
      <c r="U169" s="18"/>
      <c r="V169" s="18"/>
      <c r="W169" s="18"/>
      <c r="X169" s="18"/>
    </row>
    <row r="170" customFormat="false" ht="13" hidden="false" customHeight="true" outlineLevel="0" collapsed="false">
      <c r="B170" s="61"/>
      <c r="C170" s="65" t="s">
        <v>134</v>
      </c>
      <c r="D170" s="12"/>
      <c r="E170" s="12"/>
      <c r="F170" s="12"/>
      <c r="G170" s="12"/>
      <c r="H170" s="66"/>
      <c r="I170" s="67" t="n">
        <v>3.4386234629036</v>
      </c>
      <c r="J170" s="9"/>
      <c r="K170" s="9" t="n">
        <f aca="false">H170/I170</f>
        <v>0</v>
      </c>
      <c r="R170" s="18"/>
      <c r="S170" s="18"/>
      <c r="T170" s="18"/>
      <c r="U170" s="18"/>
      <c r="V170" s="18"/>
      <c r="W170" s="18"/>
      <c r="X170" s="18"/>
    </row>
    <row r="171" customFormat="false" ht="13" hidden="false" customHeight="true" outlineLevel="0" collapsed="false">
      <c r="B171" s="61" t="n">
        <v>202610</v>
      </c>
      <c r="C171" s="62" t="s">
        <v>132</v>
      </c>
      <c r="D171" s="12"/>
      <c r="E171" s="12" t="n">
        <v>0</v>
      </c>
      <c r="F171" s="12"/>
      <c r="G171" s="12" t="n">
        <v>0</v>
      </c>
      <c r="H171" s="63" t="str">
        <f aca="false">IFERROR(G171/E171,"")</f>
        <v/>
      </c>
      <c r="I171" s="64" t="n">
        <v>2.18393947628511</v>
      </c>
      <c r="J171" s="9" t="str">
        <f aca="false">IFERROR(H171-I171,"")</f>
        <v/>
      </c>
      <c r="K171" s="9" t="str">
        <f aca="false">IFERROR(H171/I171,"")</f>
        <v/>
      </c>
      <c r="R171" s="18"/>
      <c r="S171" s="18"/>
      <c r="T171" s="18"/>
      <c r="U171" s="18"/>
      <c r="V171" s="18"/>
      <c r="W171" s="18"/>
      <c r="X171" s="18"/>
    </row>
    <row r="172" customFormat="false" ht="13" hidden="false" customHeight="true" outlineLevel="0" collapsed="false">
      <c r="B172" s="61"/>
      <c r="C172" s="65" t="s">
        <v>134</v>
      </c>
      <c r="D172" s="12"/>
      <c r="E172" s="12"/>
      <c r="F172" s="12"/>
      <c r="G172" s="12"/>
      <c r="H172" s="66"/>
      <c r="I172" s="67" t="n">
        <v>3.13709950258625</v>
      </c>
      <c r="J172" s="9"/>
      <c r="K172" s="9" t="n">
        <f aca="false">H172/I172</f>
        <v>0</v>
      </c>
      <c r="R172" s="18"/>
      <c r="S172" s="18"/>
      <c r="T172" s="18"/>
      <c r="U172" s="18"/>
      <c r="V172" s="18"/>
      <c r="W172" s="18"/>
      <c r="X172" s="18"/>
    </row>
    <row r="173" customFormat="false" ht="13" hidden="false" customHeight="true" outlineLevel="0" collapsed="false">
      <c r="B173" s="61" t="n">
        <v>202611</v>
      </c>
      <c r="C173" s="62" t="s">
        <v>132</v>
      </c>
      <c r="D173" s="12"/>
      <c r="E173" s="12" t="n">
        <v>0</v>
      </c>
      <c r="F173" s="12"/>
      <c r="G173" s="12" t="n">
        <v>0</v>
      </c>
      <c r="H173" s="63" t="str">
        <f aca="false">IFERROR(G173/E173,"")</f>
        <v/>
      </c>
      <c r="I173" s="64" t="n">
        <v>2.3062413316047</v>
      </c>
      <c r="J173" s="9" t="str">
        <f aca="false">IFERROR(H173-I173,"")</f>
        <v/>
      </c>
      <c r="K173" s="9" t="str">
        <f aca="false">IFERROR(H173/I173,"")</f>
        <v/>
      </c>
      <c r="R173" s="18"/>
      <c r="S173" s="18"/>
      <c r="T173" s="18"/>
      <c r="U173" s="18"/>
      <c r="V173" s="18"/>
      <c r="W173" s="18"/>
      <c r="X173" s="18"/>
    </row>
    <row r="174" customFormat="false" ht="13" hidden="false" customHeight="true" outlineLevel="0" collapsed="false">
      <c r="B174" s="61"/>
      <c r="C174" s="65" t="s">
        <v>134</v>
      </c>
      <c r="D174" s="12"/>
      <c r="E174" s="12"/>
      <c r="F174" s="12"/>
      <c r="G174" s="12"/>
      <c r="H174" s="66"/>
      <c r="I174" s="67" t="n">
        <v>3.58800211822725</v>
      </c>
      <c r="J174" s="9"/>
      <c r="K174" s="9" t="n">
        <f aca="false">H174/I174</f>
        <v>0</v>
      </c>
      <c r="R174" s="18"/>
      <c r="S174" s="18"/>
      <c r="T174" s="18"/>
      <c r="U174" s="18"/>
      <c r="V174" s="18"/>
      <c r="W174" s="18"/>
      <c r="X174" s="18"/>
    </row>
    <row r="175" customFormat="false" ht="13" hidden="false" customHeight="true" outlineLevel="0" collapsed="false">
      <c r="B175" s="68" t="n">
        <v>202612</v>
      </c>
      <c r="C175" s="62" t="s">
        <v>132</v>
      </c>
      <c r="D175" s="12"/>
      <c r="E175" s="12" t="n">
        <v>0</v>
      </c>
      <c r="F175" s="12"/>
      <c r="G175" s="12" t="n">
        <v>0</v>
      </c>
      <c r="H175" s="63" t="str">
        <f aca="false">IFERROR(G175/E175,"")</f>
        <v/>
      </c>
      <c r="I175" s="64" t="n">
        <v>2.5431467843432</v>
      </c>
      <c r="J175" s="9" t="str">
        <f aca="false">IFERROR(H175-I175,"")</f>
        <v/>
      </c>
      <c r="K175" s="9" t="str">
        <f aca="false">IFERROR(H175/I175,"")</f>
        <v/>
      </c>
      <c r="R175" s="18"/>
      <c r="S175" s="18"/>
      <c r="T175" s="18"/>
      <c r="U175" s="18"/>
      <c r="V175" s="18"/>
      <c r="W175" s="18"/>
      <c r="X175" s="18"/>
    </row>
    <row r="176" customFormat="false" ht="13" hidden="false" customHeight="true" outlineLevel="0" collapsed="false">
      <c r="B176" s="68"/>
      <c r="C176" s="69" t="s">
        <v>134</v>
      </c>
      <c r="D176" s="12"/>
      <c r="E176" s="12"/>
      <c r="F176" s="12"/>
      <c r="G176" s="12"/>
      <c r="H176" s="66"/>
      <c r="I176" s="67" t="n">
        <v>3.88247542885474</v>
      </c>
      <c r="J176" s="9"/>
      <c r="K176" s="9" t="n">
        <f aca="false">H176/I176</f>
        <v>0</v>
      </c>
      <c r="R176" s="18"/>
      <c r="S176" s="18"/>
      <c r="T176" s="18"/>
      <c r="U176" s="18"/>
      <c r="V176" s="18"/>
      <c r="W176" s="18"/>
      <c r="X176" s="18"/>
    </row>
  </sheetData>
  <mergeCells count="65">
    <mergeCell ref="B15:B16"/>
    <mergeCell ref="C15:G15"/>
    <mergeCell ref="H15:L15"/>
    <mergeCell ref="M15:Q15"/>
    <mergeCell ref="R15:V15"/>
    <mergeCell ref="W15:AA15"/>
    <mergeCell ref="AB15:AF15"/>
    <mergeCell ref="AG15:AK15"/>
    <mergeCell ref="B44:B45"/>
    <mergeCell ref="C44:G44"/>
    <mergeCell ref="H44:K44"/>
    <mergeCell ref="L44:O44"/>
    <mergeCell ref="B55:B56"/>
    <mergeCell ref="C55:M55"/>
    <mergeCell ref="N55:X55"/>
    <mergeCell ref="Y55:AI55"/>
    <mergeCell ref="AJ55:AT55"/>
    <mergeCell ref="AU55:BE55"/>
    <mergeCell ref="BF55:BP55"/>
    <mergeCell ref="BQ55:CA55"/>
    <mergeCell ref="B67:B68"/>
    <mergeCell ref="F67:H67"/>
    <mergeCell ref="I67:K67"/>
    <mergeCell ref="L67:N67"/>
    <mergeCell ref="O67:Q67"/>
    <mergeCell ref="R67:T67"/>
    <mergeCell ref="U67:W67"/>
    <mergeCell ref="X67:Z67"/>
    <mergeCell ref="B102:B103"/>
    <mergeCell ref="C102:G102"/>
    <mergeCell ref="H102:L102"/>
    <mergeCell ref="M102:Q102"/>
    <mergeCell ref="R102:V102"/>
    <mergeCell ref="W102:AA102"/>
    <mergeCell ref="AB102:AF102"/>
    <mergeCell ref="AG102:AK102"/>
    <mergeCell ref="B122:B123"/>
    <mergeCell ref="C122:G122"/>
    <mergeCell ref="H122:L122"/>
    <mergeCell ref="M122:Q122"/>
    <mergeCell ref="R122:V122"/>
    <mergeCell ref="W122:AA122"/>
    <mergeCell ref="AB122:AF122"/>
    <mergeCell ref="AG122:AK122"/>
    <mergeCell ref="B138:B139"/>
    <mergeCell ref="C138:G138"/>
    <mergeCell ref="H138:L138"/>
    <mergeCell ref="B147:B148"/>
    <mergeCell ref="C147:D147"/>
    <mergeCell ref="E147:H147"/>
    <mergeCell ref="B153:B154"/>
    <mergeCell ref="C153:C154"/>
    <mergeCell ref="D153:G153"/>
    <mergeCell ref="H153:K153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</mergeCells>
  <conditionalFormatting sqref="E69:E75">
    <cfRule type="iconSet" priority="2">
      <iconSet iconSet="3Symbols2" reverse="1">
        <cfvo type="percent" val="0"/>
        <cfvo type="num" val="-0.02"/>
        <cfvo type="num" val="-0.02"/>
      </iconSet>
    </cfRule>
  </conditionalFormatting>
  <conditionalFormatting sqref="J28:J35 J38">
    <cfRule type="cellIs" priority="3" operator="lessThan" aboveAverage="0" equalAverage="0" bottom="0" percent="0" rank="0" text="" dxfId="0">
      <formula>0</formula>
    </cfRule>
    <cfRule type="iconSet" priority="4">
      <iconSet iconSet="3Symbols2">
        <cfvo type="percent" val="0"/>
        <cfvo type="num" val="0"/>
        <cfvo type="num" val="0"/>
      </iconSet>
    </cfRule>
  </conditionalFormatting>
  <conditionalFormatting sqref="J39">
    <cfRule type="cellIs" priority="5" operator="lessThan" aboveAverage="0" equalAverage="0" bottom="0" percent="0" rank="0" text="" dxfId="0">
      <formula>0</formula>
    </cfRule>
    <cfRule type="iconSet" priority="6">
      <iconSet iconSet="3Symbols2">
        <cfvo type="percent" val="0"/>
        <cfvo type="num" val="0"/>
        <cfvo type="num" val="0"/>
      </iconSet>
    </cfRule>
  </conditionalFormatting>
  <conditionalFormatting sqref="N57:N63">
    <cfRule type="iconSet" priority="7">
      <iconSet iconSet="3Symbols2">
        <cfvo type="percent" val="0"/>
        <cfvo type="num" val="100"/>
        <cfvo type="num" val="100"/>
      </iconSet>
    </cfRule>
  </conditionalFormatting>
  <conditionalFormatting sqref="K69:K75">
    <cfRule type="iconSet" priority="8">
      <iconSet iconSet="3Symbols2" reverse="1">
        <cfvo type="percent" val="0"/>
        <cfvo type="num" val="-0.02"/>
        <cfvo type="num" val="-0.02"/>
      </iconSet>
    </cfRule>
  </conditionalFormatting>
  <conditionalFormatting sqref="E6:E12">
    <cfRule type="iconSet" priority="9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10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11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12">
      <iconSet iconSet="3Arrows">
        <cfvo type="percent" val="0"/>
        <cfvo type="num" val="0"/>
        <cfvo type="num" val="0"/>
      </iconSet>
    </cfRule>
  </conditionalFormatting>
  <conditionalFormatting sqref="J17:J23">
    <cfRule type="iconSet" priority="13">
      <iconSet iconSet="3Symbols2">
        <cfvo type="percent" val="0"/>
        <cfvo type="num" val="1"/>
        <cfvo type="num" val="1"/>
      </iconSet>
    </cfRule>
  </conditionalFormatting>
  <conditionalFormatting sqref="L17:L23">
    <cfRule type="iconSet" priority="14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15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16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17">
      <iconSet iconSet="3Arrows">
        <cfvo type="percent" val="0"/>
        <cfvo type="num" val="0"/>
        <cfvo type="num" val="0"/>
      </iconSet>
    </cfRule>
  </conditionalFormatting>
  <conditionalFormatting sqref="O17:O23">
    <cfRule type="iconSet" priority="18">
      <iconSet iconSet="3Symbols2">
        <cfvo type="percent" val="0"/>
        <cfvo type="num" val="1"/>
        <cfvo type="num" val="1"/>
      </iconSet>
    </cfRule>
  </conditionalFormatting>
  <conditionalFormatting sqref="Q17:Q23">
    <cfRule type="iconSet" priority="19">
      <iconSet iconSet="3Arrows">
        <cfvo type="percent" val="0"/>
        <cfvo type="num" val="0"/>
        <cfvo type="num" val="0"/>
      </iconSet>
    </cfRule>
  </conditionalFormatting>
  <conditionalFormatting sqref="C57:C63">
    <cfRule type="iconSet" priority="20">
      <iconSet iconSet="3Symbols2">
        <cfvo type="percent" val="0"/>
        <cfvo type="num" val="100"/>
        <cfvo type="num" val="100"/>
      </iconSet>
    </cfRule>
  </conditionalFormatting>
  <conditionalFormatting sqref="Y57:Y63">
    <cfRule type="iconSet" priority="21">
      <iconSet iconSet="3Symbols2">
        <cfvo type="percent" val="0"/>
        <cfvo type="num" val="100"/>
        <cfvo type="num" val="100"/>
      </iconSet>
    </cfRule>
  </conditionalFormatting>
  <conditionalFormatting sqref="N69:N75">
    <cfRule type="iconSet" priority="22">
      <iconSet iconSet="3Symbols2" reverse="1">
        <cfvo type="percent" val="0"/>
        <cfvo type="num" val="-0.02"/>
        <cfvo type="num" val="-0.02"/>
      </iconSet>
    </cfRule>
  </conditionalFormatting>
  <conditionalFormatting sqref="H69:H75">
    <cfRule type="iconSet" priority="23">
      <iconSet iconSet="3Symbols2" reverse="1">
        <cfvo type="percent" val="0"/>
        <cfvo type="num" val="-0.02"/>
        <cfvo type="num" val="-0.02"/>
      </iconSet>
    </cfRule>
  </conditionalFormatting>
  <conditionalFormatting sqref="L104:L110">
    <cfRule type="iconSet" priority="24">
      <iconSet iconSet="3Symbols2">
        <cfvo type="percent" val="0"/>
        <cfvo type="num" val="0.5"/>
        <cfvo type="num" val="0.5"/>
      </iconSet>
    </cfRule>
  </conditionalFormatting>
  <conditionalFormatting sqref="Q104:Q110">
    <cfRule type="iconSet" priority="25">
      <iconSet iconSet="3Symbols2">
        <cfvo type="percent" val="0"/>
        <cfvo type="num" val="0.5"/>
        <cfvo type="num" val="0.5"/>
      </iconSet>
    </cfRule>
  </conditionalFormatting>
  <conditionalFormatting sqref="G104:G110">
    <cfRule type="iconSet" priority="26">
      <iconSet iconSet="3Symbols2">
        <cfvo type="percent" val="0"/>
        <cfvo type="num" val="0.5"/>
        <cfvo type="num" val="0.5"/>
      </iconSet>
    </cfRule>
  </conditionalFormatting>
  <conditionalFormatting sqref="G149 U157:U158">
    <cfRule type="cellIs" priority="27" operator="lessThan" aboveAverage="0" equalAverage="0" bottom="0" percent="0" rank="0" text="" dxfId="1">
      <formula>0</formula>
    </cfRule>
  </conditionalFormatting>
  <conditionalFormatting sqref="K180">
    <cfRule type="cellIs" priority="28" operator="lessThan" aboveAverage="0" equalAverage="0" bottom="0" percent="0" rank="0" text="" dxfId="1">
      <formula>0</formula>
    </cfRule>
  </conditionalFormatting>
  <conditionalFormatting sqref="K188:K193">
    <cfRule type="cellIs" priority="29" operator="lessThan" aboveAverage="0" equalAverage="0" bottom="0" percent="0" rank="0" text="" dxfId="1">
      <formula>0</formula>
    </cfRule>
  </conditionalFormatting>
  <conditionalFormatting sqref="K202:K207">
    <cfRule type="cellIs" priority="30" operator="lessThan" aboveAverage="0" equalAverage="0" bottom="0" percent="0" rank="0" text="" dxfId="1">
      <formula>0</formula>
    </cfRule>
  </conditionalFormatting>
  <conditionalFormatting sqref="K181:K186">
    <cfRule type="cellIs" priority="31" operator="lessThan" aboveAverage="0" equalAverage="0" bottom="0" percent="0" rank="0" text="" dxfId="1">
      <formula>0</formula>
    </cfRule>
  </conditionalFormatting>
  <conditionalFormatting sqref="K195:K200">
    <cfRule type="cellIs" priority="32" operator="lessThan" aboveAverage="0" equalAverage="0" bottom="0" percent="0" rank="0" text="" dxfId="1">
      <formula>0</formula>
    </cfRule>
  </conditionalFormatting>
  <conditionalFormatting sqref="K194">
    <cfRule type="cellIs" priority="33" operator="lessThan" aboveAverage="0" equalAverage="0" bottom="0" percent="0" rank="0" text="" dxfId="1">
      <formula>0</formula>
    </cfRule>
  </conditionalFormatting>
  <conditionalFormatting sqref="K187">
    <cfRule type="cellIs" priority="34" operator="lessThan" aboveAverage="0" equalAverage="0" bottom="0" percent="0" rank="0" text="" dxfId="1">
      <formula>0</formula>
    </cfRule>
  </conditionalFormatting>
  <conditionalFormatting sqref="K201">
    <cfRule type="cellIs" priority="35" operator="lessThan" aboveAverage="0" equalAverage="0" bottom="0" percent="0" rank="0" text="" dxfId="1">
      <formula>0</formula>
    </cfRule>
  </conditionalFormatting>
  <conditionalFormatting sqref="E116:E119">
    <cfRule type="iconSet" priority="36">
      <iconSet iconSet="3Symbols2">
        <cfvo type="percent" val="0"/>
        <cfvo type="num" val="1"/>
        <cfvo type="num" val="1"/>
      </iconSet>
    </cfRule>
  </conditionalFormatting>
  <conditionalFormatting sqref="G116:G119">
    <cfRule type="iconSet" priority="37">
      <iconSet iconSet="3Arrows">
        <cfvo type="percent" val="0"/>
        <cfvo type="num" val="0"/>
        <cfvo type="num" val="0"/>
      </iconSet>
    </cfRule>
  </conditionalFormatting>
  <conditionalFormatting sqref="E124:E127">
    <cfRule type="iconSet" priority="38">
      <iconSet iconSet="3Symbols2">
        <cfvo type="percent" val="0"/>
        <cfvo type="num" val="1"/>
        <cfvo type="num" val="1"/>
      </iconSet>
    </cfRule>
  </conditionalFormatting>
  <conditionalFormatting sqref="G124:G127">
    <cfRule type="iconSet" priority="39">
      <iconSet iconSet="3Arrows">
        <cfvo type="percent" val="0"/>
        <cfvo type="num" val="0"/>
        <cfvo type="num" val="0"/>
      </iconSet>
    </cfRule>
  </conditionalFormatting>
  <conditionalFormatting sqref="J124:J127">
    <cfRule type="iconSet" priority="40">
      <iconSet iconSet="3Symbols2">
        <cfvo type="percent" val="0"/>
        <cfvo type="num" val="1"/>
        <cfvo type="num" val="1"/>
      </iconSet>
    </cfRule>
  </conditionalFormatting>
  <conditionalFormatting sqref="L124:L127">
    <cfRule type="iconSet" priority="41">
      <iconSet iconSet="3Arrows">
        <cfvo type="percent" val="0"/>
        <cfvo type="num" val="0"/>
        <cfvo type="num" val="0"/>
      </iconSet>
    </cfRule>
  </conditionalFormatting>
  <conditionalFormatting sqref="O124:O127">
    <cfRule type="iconSet" priority="42">
      <iconSet iconSet="3Symbols2">
        <cfvo type="percent" val="0"/>
        <cfvo type="num" val="1"/>
        <cfvo type="num" val="1"/>
      </iconSet>
    </cfRule>
  </conditionalFormatting>
  <conditionalFormatting sqref="Q124:Q127">
    <cfRule type="iconSet" priority="43">
      <iconSet iconSet="3Arrows">
        <cfvo type="percent" val="0"/>
        <cfvo type="num" val="0"/>
        <cfvo type="num" val="0"/>
      </iconSet>
    </cfRule>
  </conditionalFormatting>
  <conditionalFormatting sqref="U159:U160">
    <cfRule type="cellIs" priority="44" operator="lessThan" aboveAverage="0" equalAverage="0" bottom="0" percent="0" rank="0" text="" dxfId="1">
      <formula>0</formula>
    </cfRule>
  </conditionalFormatting>
  <conditionalFormatting sqref="U161:U162">
    <cfRule type="cellIs" priority="45" operator="lessThan" aboveAverage="0" equalAverage="0" bottom="0" percent="0" rank="0" text="" dxfId="1">
      <formula>0</formula>
    </cfRule>
  </conditionalFormatting>
  <conditionalFormatting sqref="U163:U164">
    <cfRule type="cellIs" priority="46" operator="lessThan" aboveAverage="0" equalAverage="0" bottom="0" percent="0" rank="0" text="" dxfId="1">
      <formula>0</formula>
    </cfRule>
  </conditionalFormatting>
  <conditionalFormatting sqref="U165:U166">
    <cfRule type="cellIs" priority="47" operator="lessThan" aboveAverage="0" equalAverage="0" bottom="0" percent="0" rank="0" text="" dxfId="1">
      <formula>0</formula>
    </cfRule>
  </conditionalFormatting>
  <conditionalFormatting sqref="U167:U168">
    <cfRule type="cellIs" priority="48" operator="lessThan" aboveAverage="0" equalAverage="0" bottom="0" percent="0" rank="0" text="" dxfId="1">
      <formula>0</formula>
    </cfRule>
  </conditionalFormatting>
  <conditionalFormatting sqref="U169:U170">
    <cfRule type="cellIs" priority="49" operator="lessThan" aboveAverage="0" equalAverage="0" bottom="0" percent="0" rank="0" text="" dxfId="1">
      <formula>0</formula>
    </cfRule>
  </conditionalFormatting>
  <conditionalFormatting sqref="U171:U172">
    <cfRule type="cellIs" priority="50" operator="lessThan" aboveAverage="0" equalAverage="0" bottom="0" percent="0" rank="0" text="" dxfId="1">
      <formula>0</formula>
    </cfRule>
  </conditionalFormatting>
  <conditionalFormatting sqref="U173:U174">
    <cfRule type="cellIs" priority="51" operator="lessThan" aboveAverage="0" equalAverage="0" bottom="0" percent="0" rank="0" text="" dxfId="1">
      <formula>0</formula>
    </cfRule>
  </conditionalFormatting>
  <conditionalFormatting sqref="U175:U176">
    <cfRule type="cellIs" priority="52" operator="lessThan" aboveAverage="0" equalAverage="0" bottom="0" percent="0" rank="0" text="" dxfId="1">
      <formula>0</formula>
    </cfRule>
  </conditionalFormatting>
  <conditionalFormatting sqref="S180">
    <cfRule type="cellIs" priority="53" operator="lessThan" aboveAverage="0" equalAverage="0" bottom="0" percent="0" rank="0" text="" dxfId="1">
      <formula>0</formula>
    </cfRule>
  </conditionalFormatting>
  <conditionalFormatting sqref="S188:S193">
    <cfRule type="cellIs" priority="54" operator="lessThan" aboveAverage="0" equalAverage="0" bottom="0" percent="0" rank="0" text="" dxfId="1">
      <formula>0</formula>
    </cfRule>
  </conditionalFormatting>
  <conditionalFormatting sqref="S202:S207">
    <cfRule type="cellIs" priority="55" operator="lessThan" aboveAverage="0" equalAverage="0" bottom="0" percent="0" rank="0" text="" dxfId="1">
      <formula>0</formula>
    </cfRule>
  </conditionalFormatting>
  <conditionalFormatting sqref="S181:S186">
    <cfRule type="cellIs" priority="56" operator="lessThan" aboveAverage="0" equalAverage="0" bottom="0" percent="0" rank="0" text="" dxfId="1">
      <formula>0</formula>
    </cfRule>
  </conditionalFormatting>
  <conditionalFormatting sqref="S195:S200">
    <cfRule type="cellIs" priority="57" operator="lessThan" aboveAverage="0" equalAverage="0" bottom="0" percent="0" rank="0" text="" dxfId="1">
      <formula>0</formula>
    </cfRule>
  </conditionalFormatting>
  <conditionalFormatting sqref="S194">
    <cfRule type="cellIs" priority="58" operator="lessThan" aboveAverage="0" equalAverage="0" bottom="0" percent="0" rank="0" text="" dxfId="1">
      <formula>0</formula>
    </cfRule>
  </conditionalFormatting>
  <conditionalFormatting sqref="S187">
    <cfRule type="cellIs" priority="59" operator="lessThan" aboveAverage="0" equalAverage="0" bottom="0" percent="0" rank="0" text="" dxfId="1">
      <formula>0</formula>
    </cfRule>
  </conditionalFormatting>
  <conditionalFormatting sqref="S201">
    <cfRule type="cellIs" priority="60" operator="lessThan" aboveAverage="0" equalAverage="0" bottom="0" percent="0" rank="0" text="" dxfId="1">
      <formula>0</formula>
    </cfRule>
  </conditionalFormatting>
  <conditionalFormatting sqref="J155:J156">
    <cfRule type="cellIs" priority="61" operator="lessThan" aboveAverage="0" equalAverage="0" bottom="0" percent="0" rank="0" text="" dxfId="1">
      <formula>0</formula>
    </cfRule>
  </conditionalFormatting>
  <conditionalFormatting sqref="T17:T23">
    <cfRule type="iconSet" priority="62">
      <iconSet iconSet="3Symbols2">
        <cfvo type="percent" val="0"/>
        <cfvo type="num" val="1"/>
        <cfvo type="num" val="1"/>
      </iconSet>
    </cfRule>
  </conditionalFormatting>
  <conditionalFormatting sqref="V17:V23">
    <cfRule type="iconSet" priority="63">
      <iconSet iconSet="3Arrows">
        <cfvo type="percent" val="0"/>
        <cfvo type="num" val="0"/>
        <cfvo type="num" val="0"/>
      </iconSet>
    </cfRule>
  </conditionalFormatting>
  <conditionalFormatting sqref="H31 H33:H35">
    <cfRule type="iconSet" priority="64">
      <iconSet iconSet="3Symbols2">
        <cfvo type="percent" val="0"/>
        <cfvo type="num" val="0"/>
        <cfvo type="num" val="0"/>
      </iconSet>
    </cfRule>
  </conditionalFormatting>
  <conditionalFormatting sqref="I31 I33:I35">
    <cfRule type="iconSet" priority="65">
      <iconSet iconSet="3Symbols2">
        <cfvo type="percent" val="0"/>
        <cfvo type="num" val="1"/>
        <cfvo type="num" val="1"/>
      </iconSet>
    </cfRule>
  </conditionalFormatting>
  <conditionalFormatting sqref="AJ57:AJ63">
    <cfRule type="iconSet" priority="66">
      <iconSet iconSet="3Symbols2">
        <cfvo type="percent" val="0"/>
        <cfvo type="num" val="100"/>
        <cfvo type="num" val="100"/>
      </iconSet>
    </cfRule>
  </conditionalFormatting>
  <conditionalFormatting sqref="V104:V110">
    <cfRule type="iconSet" priority="67">
      <iconSet iconSet="3Symbols2">
        <cfvo type="percent" val="0"/>
        <cfvo type="num" val="0.5"/>
        <cfvo type="num" val="0.5"/>
      </iconSet>
    </cfRule>
  </conditionalFormatting>
  <conditionalFormatting sqref="T124:T127">
    <cfRule type="iconSet" priority="68">
      <iconSet iconSet="3Symbols2">
        <cfvo type="percent" val="0"/>
        <cfvo type="num" val="1"/>
        <cfvo type="num" val="1"/>
      </iconSet>
    </cfRule>
  </conditionalFormatting>
  <conditionalFormatting sqref="V124:V127">
    <cfRule type="iconSet" priority="69">
      <iconSet iconSet="3Arrows">
        <cfvo type="percent" val="0"/>
        <cfvo type="num" val="0"/>
        <cfvo type="num" val="0"/>
      </iconSet>
    </cfRule>
  </conditionalFormatting>
  <conditionalFormatting sqref="I116:I119">
    <cfRule type="iconSet" priority="70">
      <iconSet iconSet="3Symbols2">
        <cfvo type="percent" val="0"/>
        <cfvo type="num" val="1"/>
        <cfvo type="num" val="1"/>
      </iconSet>
    </cfRule>
  </conditionalFormatting>
  <conditionalFormatting sqref="Q69:Q75">
    <cfRule type="iconSet" priority="71">
      <iconSet iconSet="3Symbols2" reverse="1">
        <cfvo type="percent" val="0"/>
        <cfvo type="num" val="-0.02"/>
        <cfvo type="num" val="-0.02"/>
      </iconSet>
    </cfRule>
  </conditionalFormatting>
  <conditionalFormatting sqref="H149">
    <cfRule type="iconSet" priority="72">
      <iconSet iconSet="3Symbols2">
        <cfvo type="percent" val="0"/>
        <cfvo type="num" val="1"/>
        <cfvo type="num" val="1"/>
      </iconSet>
    </cfRule>
  </conditionalFormatting>
  <conditionalFormatting sqref="G24">
    <cfRule type="iconSet" priority="73">
      <iconSet iconSet="3Arrows">
        <cfvo type="percent" val="0"/>
        <cfvo type="num" val="0"/>
        <cfvo type="num" val="0"/>
      </iconSet>
    </cfRule>
  </conditionalFormatting>
  <conditionalFormatting sqref="K155:K156">
    <cfRule type="iconSet" priority="74">
      <iconSet iconSet="3Symbols2">
        <cfvo type="percent" val="0"/>
        <cfvo type="num" val="1"/>
        <cfvo type="num" val="1"/>
      </iconSet>
    </cfRule>
  </conditionalFormatting>
  <conditionalFormatting sqref="J157:J158">
    <cfRule type="cellIs" priority="75" operator="lessThan" aboveAverage="0" equalAverage="0" bottom="0" percent="0" rank="0" text="" dxfId="1">
      <formula>0</formula>
    </cfRule>
  </conditionalFormatting>
  <conditionalFormatting sqref="K157:K158">
    <cfRule type="iconSet" priority="76">
      <iconSet iconSet="3Symbols2">
        <cfvo type="percent" val="0"/>
        <cfvo type="num" val="1"/>
        <cfvo type="num" val="1"/>
      </iconSet>
    </cfRule>
  </conditionalFormatting>
  <conditionalFormatting sqref="J159">
    <cfRule type="cellIs" priority="77" operator="lessThan" aboveAverage="0" equalAverage="0" bottom="0" percent="0" rank="0" text="" dxfId="1">
      <formula>0</formula>
    </cfRule>
  </conditionalFormatting>
  <conditionalFormatting sqref="K159:K160">
    <cfRule type="iconSet" priority="78">
      <iconSet iconSet="3Symbols2">
        <cfvo type="percent" val="0"/>
        <cfvo type="num" val="1"/>
        <cfvo type="num" val="1"/>
      </iconSet>
    </cfRule>
  </conditionalFormatting>
  <conditionalFormatting sqref="J161">
    <cfRule type="cellIs" priority="79" operator="lessThan" aboveAverage="0" equalAverage="0" bottom="0" percent="0" rank="0" text="" dxfId="1">
      <formula>0</formula>
    </cfRule>
  </conditionalFormatting>
  <conditionalFormatting sqref="K161:K162">
    <cfRule type="iconSet" priority="80">
      <iconSet iconSet="3Symbols2">
        <cfvo type="percent" val="0"/>
        <cfvo type="num" val="1"/>
        <cfvo type="num" val="1"/>
      </iconSet>
    </cfRule>
  </conditionalFormatting>
  <conditionalFormatting sqref="J163">
    <cfRule type="cellIs" priority="81" operator="lessThan" aboveAverage="0" equalAverage="0" bottom="0" percent="0" rank="0" text="" dxfId="1">
      <formula>0</formula>
    </cfRule>
  </conditionalFormatting>
  <conditionalFormatting sqref="K163:K164">
    <cfRule type="iconSet" priority="82">
      <iconSet iconSet="3Symbols2">
        <cfvo type="percent" val="0"/>
        <cfvo type="num" val="1"/>
        <cfvo type="num" val="1"/>
      </iconSet>
    </cfRule>
  </conditionalFormatting>
  <conditionalFormatting sqref="J165:J166">
    <cfRule type="cellIs" priority="83" operator="lessThan" aboveAverage="0" equalAverage="0" bottom="0" percent="0" rank="0" text="" dxfId="1">
      <formula>0</formula>
    </cfRule>
  </conditionalFormatting>
  <conditionalFormatting sqref="K165:K166">
    <cfRule type="iconSet" priority="84">
      <iconSet iconSet="3Symbols2">
        <cfvo type="percent" val="0"/>
        <cfvo type="num" val="1"/>
        <cfvo type="num" val="1"/>
      </iconSet>
    </cfRule>
  </conditionalFormatting>
  <conditionalFormatting sqref="J167:J168">
    <cfRule type="cellIs" priority="85" operator="lessThan" aboveAverage="0" equalAverage="0" bottom="0" percent="0" rank="0" text="" dxfId="1">
      <formula>0</formula>
    </cfRule>
  </conditionalFormatting>
  <conditionalFormatting sqref="K167:K168">
    <cfRule type="iconSet" priority="86">
      <iconSet iconSet="3Symbols2">
        <cfvo type="percent" val="0"/>
        <cfvo type="num" val="1"/>
        <cfvo type="num" val="1"/>
      </iconSet>
    </cfRule>
  </conditionalFormatting>
  <conditionalFormatting sqref="J169:J170">
    <cfRule type="cellIs" priority="87" operator="lessThan" aboveAverage="0" equalAverage="0" bottom="0" percent="0" rank="0" text="" dxfId="1">
      <formula>0</formula>
    </cfRule>
  </conditionalFormatting>
  <conditionalFormatting sqref="K169:K170">
    <cfRule type="iconSet" priority="88">
      <iconSet iconSet="3Symbols2">
        <cfvo type="percent" val="0"/>
        <cfvo type="num" val="1"/>
        <cfvo type="num" val="1"/>
      </iconSet>
    </cfRule>
  </conditionalFormatting>
  <conditionalFormatting sqref="J171:J172">
    <cfRule type="cellIs" priority="89" operator="lessThan" aboveAverage="0" equalAverage="0" bottom="0" percent="0" rank="0" text="" dxfId="1">
      <formula>0</formula>
    </cfRule>
  </conditionalFormatting>
  <conditionalFormatting sqref="K171:K172">
    <cfRule type="iconSet" priority="90">
      <iconSet iconSet="3Symbols2">
        <cfvo type="percent" val="0"/>
        <cfvo type="num" val="1"/>
        <cfvo type="num" val="1"/>
      </iconSet>
    </cfRule>
  </conditionalFormatting>
  <conditionalFormatting sqref="J173:J174">
    <cfRule type="cellIs" priority="91" operator="lessThan" aboveAverage="0" equalAverage="0" bottom="0" percent="0" rank="0" text="" dxfId="1">
      <formula>0</formula>
    </cfRule>
  </conditionalFormatting>
  <conditionalFormatting sqref="K173:K174">
    <cfRule type="iconSet" priority="92">
      <iconSet iconSet="3Symbols2">
        <cfvo type="percent" val="0"/>
        <cfvo type="num" val="1"/>
        <cfvo type="num" val="1"/>
      </iconSet>
    </cfRule>
  </conditionalFormatting>
  <conditionalFormatting sqref="J175:J176">
    <cfRule type="cellIs" priority="93" operator="lessThan" aboveAverage="0" equalAverage="0" bottom="0" percent="0" rank="0" text="" dxfId="1">
      <formula>0</formula>
    </cfRule>
  </conditionalFormatting>
  <conditionalFormatting sqref="K175:K176">
    <cfRule type="iconSet" priority="94">
      <iconSet iconSet="3Symbols2">
        <cfvo type="percent" val="0"/>
        <cfvo type="num" val="1"/>
        <cfvo type="num" val="1"/>
      </iconSet>
    </cfRule>
  </conditionalFormatting>
  <conditionalFormatting sqref="G150">
    <cfRule type="cellIs" priority="95" operator="lessThan" aboveAverage="0" equalAverage="0" bottom="0" percent="0" rank="0" text="" dxfId="1">
      <formula>0</formula>
    </cfRule>
  </conditionalFormatting>
  <conditionalFormatting sqref="H150">
    <cfRule type="iconSet" priority="96">
      <iconSet iconSet="3Symbols2">
        <cfvo type="percent" val="0"/>
        <cfvo type="num" val="1"/>
        <cfvo type="num" val="1"/>
      </iconSet>
    </cfRule>
  </conditionalFormatting>
  <conditionalFormatting sqref="Y17:Y23">
    <cfRule type="iconSet" priority="97">
      <iconSet iconSet="3Symbols2">
        <cfvo type="percent" val="0"/>
        <cfvo type="num" val="1"/>
        <cfvo type="num" val="1"/>
      </iconSet>
    </cfRule>
  </conditionalFormatting>
  <conditionalFormatting sqref="AA17:AA23">
    <cfRule type="iconSet" priority="98">
      <iconSet iconSet="3Arrows">
        <cfvo type="percent" val="0"/>
        <cfvo type="num" val="0"/>
        <cfvo type="num" val="0"/>
      </iconSet>
    </cfRule>
  </conditionalFormatting>
  <conditionalFormatting sqref="AU57:AU63">
    <cfRule type="iconSet" priority="99">
      <iconSet iconSet="3Symbols2">
        <cfvo type="percent" val="0"/>
        <cfvo type="num" val="100"/>
        <cfvo type="num" val="100"/>
      </iconSet>
    </cfRule>
  </conditionalFormatting>
  <conditionalFormatting sqref="T69:T75">
    <cfRule type="iconSet" priority="100">
      <iconSet iconSet="3Symbols2" reverse="1">
        <cfvo type="percent" val="0"/>
        <cfvo type="num" val="-0.02"/>
        <cfvo type="num" val="-0.02"/>
      </iconSet>
    </cfRule>
  </conditionalFormatting>
  <conditionalFormatting sqref="AA104:AA110">
    <cfRule type="iconSet" priority="101">
      <iconSet iconSet="3Symbols2">
        <cfvo type="percent" val="0"/>
        <cfvo type="num" val="0.5"/>
        <cfvo type="num" val="0.5"/>
      </iconSet>
    </cfRule>
  </conditionalFormatting>
  <conditionalFormatting sqref="Y124:Y127">
    <cfRule type="iconSet" priority="102">
      <iconSet iconSet="3Symbols2">
        <cfvo type="percent" val="0"/>
        <cfvo type="num" val="1"/>
        <cfvo type="num" val="1"/>
      </iconSet>
    </cfRule>
  </conditionalFormatting>
  <conditionalFormatting sqref="AA124:AA127">
    <cfRule type="iconSet" priority="103">
      <iconSet iconSet="3Arrows">
        <cfvo type="percent" val="0"/>
        <cfvo type="num" val="0"/>
        <cfvo type="num" val="0"/>
      </iconSet>
    </cfRule>
  </conditionalFormatting>
  <conditionalFormatting sqref="J160">
    <cfRule type="cellIs" priority="104" operator="lessThan" aboveAverage="0" equalAverage="0" bottom="0" percent="0" rank="0" text="" dxfId="1">
      <formula>0</formula>
    </cfRule>
  </conditionalFormatting>
  <conditionalFormatting sqref="H32">
    <cfRule type="iconSet" priority="105">
      <iconSet iconSet="3Symbols2">
        <cfvo type="percent" val="0"/>
        <cfvo type="num" val="0"/>
        <cfvo type="num" val="0"/>
      </iconSet>
    </cfRule>
  </conditionalFormatting>
  <conditionalFormatting sqref="I32">
    <cfRule type="iconSet" priority="106">
      <iconSet iconSet="3Symbols2">
        <cfvo type="percent" val="0"/>
        <cfvo type="num" val="1"/>
        <cfvo type="num" val="1"/>
      </iconSet>
    </cfRule>
  </conditionalFormatting>
  <conditionalFormatting sqref="H28:H30 H38:H39">
    <cfRule type="iconSet" priority="107">
      <iconSet iconSet="3Symbols2">
        <cfvo type="percent" val="0"/>
        <cfvo type="num" val="0"/>
        <cfvo type="num" val="0"/>
      </iconSet>
    </cfRule>
  </conditionalFormatting>
  <conditionalFormatting sqref="I28:I30 I38:I39">
    <cfRule type="iconSet" priority="108">
      <iconSet iconSet="3Symbols2">
        <cfvo type="percent" val="0"/>
        <cfvo type="num" val="1"/>
        <cfvo type="num" val="1"/>
      </iconSet>
    </cfRule>
  </conditionalFormatting>
  <conditionalFormatting sqref="AD17:AD23">
    <cfRule type="iconSet" priority="109">
      <iconSet iconSet="3Symbols2">
        <cfvo type="percent" val="0"/>
        <cfvo type="num" val="1"/>
        <cfvo type="num" val="1"/>
      </iconSet>
    </cfRule>
  </conditionalFormatting>
  <conditionalFormatting sqref="AF17:AF23">
    <cfRule type="iconSet" priority="110">
      <iconSet iconSet="3Arrows">
        <cfvo type="percent" val="0"/>
        <cfvo type="num" val="0"/>
        <cfvo type="num" val="0"/>
      </iconSet>
    </cfRule>
  </conditionalFormatting>
  <conditionalFormatting sqref="BF57:BF63">
    <cfRule type="iconSet" priority="111">
      <iconSet iconSet="3Symbols2">
        <cfvo type="percent" val="0"/>
        <cfvo type="num" val="100"/>
        <cfvo type="num" val="100"/>
      </iconSet>
    </cfRule>
  </conditionalFormatting>
  <conditionalFormatting sqref="W69:W75">
    <cfRule type="iconSet" priority="112">
      <iconSet iconSet="3Symbols2" reverse="1">
        <cfvo type="percent" val="0"/>
        <cfvo type="num" val="-0.02"/>
        <cfvo type="num" val="-0.02"/>
      </iconSet>
    </cfRule>
  </conditionalFormatting>
  <conditionalFormatting sqref="AF104">
    <cfRule type="iconSet" priority="113">
      <iconSet iconSet="3Symbols2">
        <cfvo type="percent" val="0"/>
        <cfvo type="num" val="0.5"/>
        <cfvo type="num" val="0.5"/>
      </iconSet>
    </cfRule>
  </conditionalFormatting>
  <conditionalFormatting sqref="AF105:AF109">
    <cfRule type="iconSet" priority="114">
      <iconSet iconSet="3Symbols2">
        <cfvo type="percent" val="0"/>
        <cfvo type="num" val="0.5"/>
        <cfvo type="num" val="0.5"/>
      </iconSet>
    </cfRule>
  </conditionalFormatting>
  <conditionalFormatting sqref="AF110">
    <cfRule type="iconSet" priority="115">
      <iconSet iconSet="3Symbols2">
        <cfvo type="percent" val="0"/>
        <cfvo type="num" val="0.5"/>
        <cfvo type="num" val="0.5"/>
      </iconSet>
    </cfRule>
  </conditionalFormatting>
  <conditionalFormatting sqref="AD124:AD127">
    <cfRule type="iconSet" priority="116">
      <iconSet iconSet="3Symbols2">
        <cfvo type="percent" val="0"/>
        <cfvo type="num" val="1"/>
        <cfvo type="num" val="1"/>
      </iconSet>
    </cfRule>
  </conditionalFormatting>
  <conditionalFormatting sqref="AF124:AF127">
    <cfRule type="iconSet" priority="117">
      <iconSet iconSet="3Arrows">
        <cfvo type="percent" val="0"/>
        <cfvo type="num" val="0"/>
        <cfvo type="num" val="0"/>
      </iconSet>
    </cfRule>
  </conditionalFormatting>
  <conditionalFormatting sqref="J162">
    <cfRule type="cellIs" priority="118" operator="lessThan" aboveAverage="0" equalAverage="0" bottom="0" percent="0" rank="0" text="" dxfId="1">
      <formula>0</formula>
    </cfRule>
  </conditionalFormatting>
  <conditionalFormatting sqref="AI17:AI23">
    <cfRule type="iconSet" priority="119">
      <iconSet iconSet="3Symbols2">
        <cfvo type="percent" val="0"/>
        <cfvo type="num" val="1"/>
        <cfvo type="num" val="1"/>
      </iconSet>
    </cfRule>
  </conditionalFormatting>
  <conditionalFormatting sqref="AK17:AK23">
    <cfRule type="iconSet" priority="120">
      <iconSet iconSet="3Arrows">
        <cfvo type="percent" val="0"/>
        <cfvo type="num" val="0"/>
        <cfvo type="num" val="0"/>
      </iconSet>
    </cfRule>
  </conditionalFormatting>
  <conditionalFormatting sqref="J37">
    <cfRule type="cellIs" priority="121" operator="lessThan" aboveAverage="0" equalAverage="0" bottom="0" percent="0" rank="0" text="" dxfId="0">
      <formula>0</formula>
    </cfRule>
    <cfRule type="iconSet" priority="122">
      <iconSet iconSet="3Symbols2">
        <cfvo type="percent" val="0"/>
        <cfvo type="num" val="0"/>
        <cfvo type="num" val="0"/>
      </iconSet>
    </cfRule>
  </conditionalFormatting>
  <conditionalFormatting sqref="H37">
    <cfRule type="iconSet" priority="123">
      <iconSet iconSet="3Symbols2">
        <cfvo type="percent" val="0"/>
        <cfvo type="num" val="0"/>
        <cfvo type="num" val="0"/>
      </iconSet>
    </cfRule>
  </conditionalFormatting>
  <conditionalFormatting sqref="I37">
    <cfRule type="iconSet" priority="124">
      <iconSet iconSet="3Symbols2">
        <cfvo type="percent" val="0"/>
        <cfvo type="num" val="1"/>
        <cfvo type="num" val="1"/>
      </iconSet>
    </cfRule>
  </conditionalFormatting>
  <conditionalFormatting sqref="BQ57:BQ63">
    <cfRule type="iconSet" priority="125">
      <iconSet iconSet="3Symbols2">
        <cfvo type="percent" val="0"/>
        <cfvo type="num" val="100"/>
        <cfvo type="num" val="100"/>
      </iconSet>
    </cfRule>
  </conditionalFormatting>
  <conditionalFormatting sqref="C46:C52">
    <cfRule type="iconSet" priority="126">
      <iconSet iconSet="3Symbols2">
        <cfvo type="percent" val="0"/>
        <cfvo type="num" val="100"/>
        <cfvo type="num" val="100"/>
      </iconSet>
    </cfRule>
  </conditionalFormatting>
  <conditionalFormatting sqref="Z69:Z75">
    <cfRule type="iconSet" priority="127">
      <iconSet iconSet="3Symbols2" reverse="1">
        <cfvo type="percent" val="0"/>
        <cfvo type="num" val="-0.02"/>
        <cfvo type="num" val="-0.02"/>
      </iconSet>
    </cfRule>
  </conditionalFormatting>
  <conditionalFormatting sqref="G93">
    <cfRule type="iconSet" priority="128">
      <iconSet iconSet="3Symbols2">
        <cfvo type="percent" val="0"/>
        <cfvo type="num" val="0.5"/>
        <cfvo type="num" val="0.5"/>
      </iconSet>
    </cfRule>
  </conditionalFormatting>
  <conditionalFormatting sqref="G94:G98">
    <cfRule type="iconSet" priority="129">
      <iconSet iconSet="3Symbols2">
        <cfvo type="percent" val="0"/>
        <cfvo type="num" val="0.5"/>
        <cfvo type="num" val="0.5"/>
      </iconSet>
    </cfRule>
  </conditionalFormatting>
  <conditionalFormatting sqref="G99">
    <cfRule type="iconSet" priority="130">
      <iconSet iconSet="3Symbols2">
        <cfvo type="percent" val="0"/>
        <cfvo type="num" val="0.5"/>
        <cfvo type="num" val="0.5"/>
      </iconSet>
    </cfRule>
  </conditionalFormatting>
  <conditionalFormatting sqref="AK104:AK110">
    <cfRule type="iconSet" priority="131">
      <iconSet iconSet="3Symbols2">
        <cfvo type="percent" val="0"/>
        <cfvo type="num" val="0.5"/>
        <cfvo type="num" val="0.5"/>
      </iconSet>
    </cfRule>
  </conditionalFormatting>
  <conditionalFormatting sqref="AI124:AI127">
    <cfRule type="iconSet" priority="132">
      <iconSet iconSet="3Symbols2">
        <cfvo type="percent" val="0"/>
        <cfvo type="num" val="1"/>
        <cfvo type="num" val="1"/>
      </iconSet>
    </cfRule>
  </conditionalFormatting>
  <conditionalFormatting sqref="AK124:AK127">
    <cfRule type="iconSet" priority="133">
      <iconSet iconSet="3Arrows">
        <cfvo type="percent" val="0"/>
        <cfvo type="num" val="0"/>
        <cfvo type="num" val="0"/>
      </iconSet>
    </cfRule>
  </conditionalFormatting>
  <conditionalFormatting sqref="J164">
    <cfRule type="cellIs" priority="134" operator="lessThan" aboveAverage="0" equalAverage="0" bottom="0" percent="0" rank="0" text="" dxfId="1">
      <formula>0</formula>
    </cfRule>
  </conditionalFormatting>
  <conditionalFormatting sqref="E132:E135">
    <cfRule type="iconSet" priority="135">
      <iconSet iconSet="3Symbols2">
        <cfvo type="percent" val="0"/>
        <cfvo type="num" val="1"/>
        <cfvo type="num" val="1"/>
      </iconSet>
    </cfRule>
  </conditionalFormatting>
  <conditionalFormatting sqref="G132:G135">
    <cfRule type="iconSet" priority="136">
      <iconSet iconSet="3Arrows">
        <cfvo type="percent" val="0"/>
        <cfvo type="num" val="0"/>
        <cfvo type="num" val="0"/>
      </iconSet>
    </cfRule>
  </conditionalFormatting>
  <conditionalFormatting sqref="I132:I135">
    <cfRule type="iconSet" priority="137">
      <iconSet iconSet="3Symbols2">
        <cfvo type="percent" val="0"/>
        <cfvo type="num" val="1"/>
        <cfvo type="num" val="1"/>
      </iconSet>
    </cfRule>
  </conditionalFormatting>
  <conditionalFormatting sqref="E140:E144">
    <cfRule type="iconSet" priority="138">
      <iconSet iconSet="3Symbols2">
        <cfvo type="percent" val="0"/>
        <cfvo type="num" val="1"/>
        <cfvo type="num" val="1"/>
      </iconSet>
    </cfRule>
  </conditionalFormatting>
  <conditionalFormatting sqref="G140:G144">
    <cfRule type="iconSet" priority="139">
      <iconSet iconSet="3Arrows">
        <cfvo type="percent" val="0"/>
        <cfvo type="num" val="0"/>
        <cfvo type="num" val="0"/>
      </iconSet>
    </cfRule>
  </conditionalFormatting>
  <conditionalFormatting sqref="J140:J143">
    <cfRule type="iconSet" priority="140">
      <iconSet iconSet="3Symbols2">
        <cfvo type="percent" val="0"/>
        <cfvo type="num" val="1"/>
        <cfvo type="num" val="1"/>
      </iconSet>
    </cfRule>
  </conditionalFormatting>
  <conditionalFormatting sqref="L140:L143">
    <cfRule type="iconSet" priority="141">
      <iconSet iconSet="3Arrows">
        <cfvo type="percent" val="0"/>
        <cfvo type="num" val="0"/>
        <cfvo type="num" val="0"/>
      </iconSet>
    </cfRule>
  </conditionalFormatting>
  <conditionalFormatting sqref="G81">
    <cfRule type="cellIs" priority="142" operator="greaterThan" aboveAverage="0" equalAverage="0" bottom="0" percent="0" rank="0" text="" dxfId="1">
      <formula>0</formula>
    </cfRule>
    <cfRule type="iconSet" priority="143">
      <iconSet iconSet="3Arrows">
        <cfvo type="percent" val="0"/>
        <cfvo type="num" val="0"/>
        <cfvo type="num" val="0"/>
      </iconSet>
    </cfRule>
  </conditionalFormatting>
  <conditionalFormatting sqref="G82:G87">
    <cfRule type="cellIs" priority="144" operator="greaterThan" aboveAverage="0" equalAverage="0" bottom="0" percent="0" rank="0" text="" dxfId="1">
      <formula>0</formula>
    </cfRule>
    <cfRule type="iconSet" priority="145">
      <iconSet iconSet="3Arrows">
        <cfvo type="percent" val="0"/>
        <cfvo type="num" val="0"/>
        <cfvo type="num" val="0"/>
      </iconSet>
    </cfRule>
  </conditionalFormatting>
  <conditionalFormatting sqref="J81">
    <cfRule type="cellIs" priority="146" operator="greaterThan" aboveAverage="0" equalAverage="0" bottom="0" percent="0" rank="0" text="" dxfId="1">
      <formula>0</formula>
    </cfRule>
    <cfRule type="iconSet" priority="147">
      <iconSet iconSet="3Arrows">
        <cfvo type="percent" val="0"/>
        <cfvo type="num" val="0"/>
        <cfvo type="num" val="0"/>
      </iconSet>
    </cfRule>
  </conditionalFormatting>
  <conditionalFormatting sqref="J82:J87">
    <cfRule type="cellIs" priority="148" operator="greaterThan" aboveAverage="0" equalAverage="0" bottom="0" percent="0" rank="0" text="" dxfId="1">
      <formula>0</formula>
    </cfRule>
    <cfRule type="iconSet" priority="149">
      <iconSet iconSet="3Arrows">
        <cfvo type="percent" val="0"/>
        <cfvo type="num" val="0"/>
        <cfvo type="num" val="0"/>
      </iconSet>
    </cfRule>
  </conditionalFormatting>
  <conditionalFormatting sqref="M81">
    <cfRule type="cellIs" priority="150" operator="lessThan" aboveAverage="0" equalAverage="0" bottom="0" percent="0" rank="0" text="" dxfId="1">
      <formula>0</formula>
    </cfRule>
    <cfRule type="iconSet" priority="151">
      <iconSet iconSet="3Arrows">
        <cfvo type="percent" val="0"/>
        <cfvo type="num" val="0"/>
        <cfvo type="num" val="0"/>
      </iconSet>
    </cfRule>
  </conditionalFormatting>
  <conditionalFormatting sqref="M82:M87">
    <cfRule type="cellIs" priority="152" operator="lessThan" aboveAverage="0" equalAverage="0" bottom="0" percent="0" rank="0" text="" dxfId="1">
      <formula>0</formula>
    </cfRule>
    <cfRule type="iconSet" priority="153">
      <iconSet iconSet="3Arrows">
        <cfvo type="percent" val="0"/>
        <cfvo type="num" val="0"/>
        <cfvo type="num" val="0"/>
      </iconSet>
    </cfRule>
  </conditionalFormatting>
  <conditionalFormatting sqref="P81">
    <cfRule type="cellIs" priority="154" operator="greaterThan" aboveAverage="0" equalAverage="0" bottom="0" percent="0" rank="0" text="" dxfId="1">
      <formula>0</formula>
    </cfRule>
    <cfRule type="iconSet" priority="155">
      <iconSet iconSet="3Arrows">
        <cfvo type="percent" val="0"/>
        <cfvo type="num" val="0"/>
        <cfvo type="num" val="0"/>
      </iconSet>
    </cfRule>
  </conditionalFormatting>
  <conditionalFormatting sqref="P82:P87">
    <cfRule type="cellIs" priority="156" operator="greaterThan" aboveAverage="0" equalAverage="0" bottom="0" percent="0" rank="0" text="" dxfId="1">
      <formula>0</formula>
    </cfRule>
    <cfRule type="iconSet" priority="157">
      <iconSet iconSet="3Arrows">
        <cfvo type="percent" val="0"/>
        <cfvo type="num" val="0"/>
        <cfvo type="num" val="0"/>
      </iconSet>
    </cfRule>
  </conditionalFormatting>
  <conditionalFormatting sqref="J36">
    <cfRule type="cellIs" priority="158" operator="lessThan" aboveAverage="0" equalAverage="0" bottom="0" percent="0" rank="0" text="" dxfId="0">
      <formula>0</formula>
    </cfRule>
    <cfRule type="iconSet" priority="159">
      <iconSet iconSet="3Symbols2">
        <cfvo type="percent" val="0"/>
        <cfvo type="num" val="0"/>
        <cfvo type="num" val="0"/>
      </iconSet>
    </cfRule>
  </conditionalFormatting>
  <conditionalFormatting sqref="H36">
    <cfRule type="iconSet" priority="160">
      <iconSet iconSet="3Symbols2">
        <cfvo type="percent" val="0"/>
        <cfvo type="num" val="0"/>
        <cfvo type="num" val="0"/>
      </iconSet>
    </cfRule>
  </conditionalFormatting>
  <conditionalFormatting sqref="I36">
    <cfRule type="iconSet" priority="161">
      <iconSet iconSet="3Symbols2">
        <cfvo type="percent" val="0"/>
        <cfvo type="num" val="1"/>
        <cfvo type="num" val="1"/>
      </iconSet>
    </cfRule>
  </conditionalFormatting>
  <printOptions headings="false" gridLines="false" gridLinesSet="true" horizontalCentered="false" verticalCentered="false"/>
  <pageMargins left="0.25" right="0.25" top="0.75" bottom="0.7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&amp;C_x005F_x000a__x005F_x000a_&amp;R&amp;"宋体,Regular"_x005F_x000a_请标识密级</oddHeader>
    <oddFooter>&amp;L&amp;"宋体,Regular"唯品会保密信息，未经许可不得扩散。&amp;R&amp;"宋体,Regular"第 &amp;P 页，共 &amp;N 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93" activeCellId="0" sqref="M93"/>
    </sheetView>
  </sheetViews>
  <sheetFormatPr defaultColWidth="8.54296875" defaultRowHeight="14" zeroHeight="false" outlineLevelRow="0" outlineLevelCol="0"/>
  <cols>
    <col collapsed="false" customWidth="true" hidden="false" outlineLevel="0" max="10" min="10" style="39" width="10.09"/>
  </cols>
  <sheetData>
    <row r="1" customFormat="false" ht="14" hidden="false" customHeight="true" outlineLevel="0" collapsed="false">
      <c r="A1" s="1"/>
      <c r="B1" s="2" t="s">
        <v>0</v>
      </c>
      <c r="C1" s="3" t="n">
        <v>46215</v>
      </c>
      <c r="D1" s="3" t="s">
        <v>1</v>
      </c>
      <c r="E1" s="1"/>
      <c r="F1" s="4"/>
      <c r="G1" s="1"/>
      <c r="H1" s="1"/>
      <c r="I1" s="1"/>
      <c r="J1" s="1"/>
      <c r="K1" s="1"/>
      <c r="L1" s="1"/>
    </row>
    <row r="2" customFormat="false" ht="14" hidden="false" customHeight="true" outlineLevel="0" collapsed="false">
      <c r="A2" s="1"/>
      <c r="B2" s="2"/>
      <c r="C2" s="3"/>
      <c r="D2" s="1"/>
      <c r="E2" s="1"/>
      <c r="F2" s="4"/>
      <c r="G2" s="1"/>
      <c r="H2" s="1"/>
      <c r="I2" s="1"/>
      <c r="J2" s="1"/>
      <c r="K2" s="1"/>
      <c r="L2" s="1"/>
    </row>
    <row r="3" customFormat="false" ht="14" hidden="false" customHeight="true" outlineLevel="0" collapsed="false">
      <c r="A3" s="1"/>
      <c r="B3" s="2" t="s">
        <v>2</v>
      </c>
      <c r="C3" s="3"/>
      <c r="D3" s="1"/>
      <c r="E3" s="1"/>
      <c r="F3" s="1"/>
      <c r="G3" s="1"/>
      <c r="H3" s="1"/>
      <c r="I3" s="1"/>
      <c r="J3" s="1"/>
      <c r="K3" s="1"/>
      <c r="L3" s="1"/>
    </row>
    <row r="4" customFormat="false" ht="14" hidden="false" customHeight="true" outlineLevel="0" collapsed="false">
      <c r="A4" s="1"/>
      <c r="B4" s="5" t="s">
        <v>3</v>
      </c>
      <c r="C4" s="3"/>
      <c r="D4" s="1"/>
      <c r="E4" s="1"/>
      <c r="F4" s="1"/>
      <c r="G4" s="1"/>
      <c r="H4" s="1"/>
      <c r="I4" s="1"/>
      <c r="J4" s="1"/>
      <c r="K4" s="1"/>
      <c r="L4" s="1"/>
    </row>
    <row r="5" customFormat="false" ht="27" hidden="false" customHeight="true" outlineLevel="0" collapsed="false">
      <c r="A5" s="1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11</v>
      </c>
      <c r="L5" s="1"/>
    </row>
    <row r="6" customFormat="false" ht="14" hidden="false" customHeight="true" outlineLevel="0" collapsed="false">
      <c r="A6" s="1"/>
      <c r="B6" s="7" t="s">
        <v>13</v>
      </c>
      <c r="C6" s="8" t="n">
        <v>71810000</v>
      </c>
      <c r="D6" s="8" t="n">
        <v>23538133.96204</v>
      </c>
      <c r="E6" s="9" t="n">
        <f aca="false">D6/C6</f>
        <v>0.327783511517059</v>
      </c>
      <c r="F6" s="8" t="n">
        <v>23132291.24843</v>
      </c>
      <c r="G6" s="9" t="n">
        <f aca="false">D6/F6-1</f>
        <v>0.0175444234750219</v>
      </c>
      <c r="H6" s="8" t="n">
        <v>25384785.1757566</v>
      </c>
      <c r="I6" s="9" t="n">
        <f aca="false">D6/H6</f>
        <v>0.927253620586862</v>
      </c>
      <c r="J6" s="8" t="n">
        <v>25100000</v>
      </c>
      <c r="K6" s="9" t="n">
        <f aca="false">D6/J6</f>
        <v>0.937774261435857</v>
      </c>
      <c r="L6" s="1"/>
    </row>
    <row r="7" customFormat="false" ht="14" hidden="false" customHeight="true" outlineLevel="0" collapsed="false">
      <c r="A7" s="1"/>
      <c r="B7" s="7" t="s">
        <v>14</v>
      </c>
      <c r="C7" s="8" t="n">
        <v>132000000</v>
      </c>
      <c r="D7" s="8" t="n">
        <v>32813459.811</v>
      </c>
      <c r="E7" s="9" t="n">
        <f aca="false">D7/C7</f>
        <v>0.24858681675</v>
      </c>
      <c r="F7" s="8" t="n">
        <v>38971032.459</v>
      </c>
      <c r="G7" s="9" t="n">
        <f aca="false">D7/F7-1</f>
        <v>-0.158003836682494</v>
      </c>
      <c r="H7" s="8" t="n">
        <v>46661908.4138681</v>
      </c>
      <c r="I7" s="9" t="n">
        <f aca="false">D7/H7</f>
        <v>0.703217269211555</v>
      </c>
      <c r="J7" s="8" t="n">
        <v>48882700.5</v>
      </c>
      <c r="K7" s="9" t="n">
        <f aca="false">D7/J7</f>
        <v>0.671269374960166</v>
      </c>
      <c r="L7" s="1"/>
    </row>
    <row r="8" customFormat="false" ht="14" hidden="false" customHeight="true" outlineLevel="0" collapsed="false">
      <c r="A8" s="1"/>
      <c r="B8" s="7" t="s">
        <v>15</v>
      </c>
      <c r="C8" s="8" t="n">
        <v>9437018</v>
      </c>
      <c r="D8" s="8" t="n">
        <v>4393512.08522</v>
      </c>
      <c r="E8" s="9" t="n">
        <f aca="false">D8/C8</f>
        <v>0.465561481944826</v>
      </c>
      <c r="F8" s="8" t="n">
        <v>2838432.76718</v>
      </c>
      <c r="G8" s="9" t="n">
        <f aca="false">D8/F8-1</f>
        <v>0.547865475631815</v>
      </c>
      <c r="H8" s="8" t="n">
        <v>3335979.31527291</v>
      </c>
      <c r="I8" s="9" t="n">
        <f aca="false">D8/H8</f>
        <v>1.31700819159923</v>
      </c>
      <c r="J8" s="8" t="n">
        <v>3380000</v>
      </c>
      <c r="K8" s="9" t="n">
        <f aca="false">D8/J8</f>
        <v>1.29985564651479</v>
      </c>
      <c r="L8" s="1"/>
    </row>
    <row r="9" customFormat="false" ht="14" hidden="false" customHeight="true" outlineLevel="0" collapsed="false">
      <c r="A9" s="1"/>
      <c r="B9" s="7" t="s">
        <v>16</v>
      </c>
      <c r="C9" s="8" t="n">
        <v>88000000</v>
      </c>
      <c r="D9" s="8" t="n">
        <v>25358433.51492</v>
      </c>
      <c r="E9" s="9" t="n">
        <f aca="false">D9/C9</f>
        <v>0.288164017215</v>
      </c>
      <c r="F9" s="8" t="n">
        <v>24409844.47005</v>
      </c>
      <c r="G9" s="9" t="n">
        <f aca="false">D9/F9-1</f>
        <v>0.0388609212989408</v>
      </c>
      <c r="H9" s="8" t="n">
        <v>31107938.9425787</v>
      </c>
      <c r="I9" s="9" t="n">
        <f aca="false">D9/H9</f>
        <v>0.815175623230084</v>
      </c>
      <c r="J9" s="8" t="n">
        <v>27562949</v>
      </c>
      <c r="K9" s="9" t="n">
        <f aca="false">D9/J9</f>
        <v>0.920018881684975</v>
      </c>
      <c r="L9" s="1"/>
    </row>
    <row r="10" customFormat="false" ht="14" hidden="false" customHeight="true" outlineLevel="0" collapsed="false">
      <c r="A10" s="1"/>
      <c r="B10" s="7" t="s">
        <v>17</v>
      </c>
      <c r="C10" s="8" t="n">
        <v>66000000</v>
      </c>
      <c r="D10" s="8" t="n">
        <v>20747458.48452</v>
      </c>
      <c r="E10" s="9" t="n">
        <f aca="false">D10/C10</f>
        <v>0.314355431583636</v>
      </c>
      <c r="F10" s="8" t="n">
        <v>19622816.84151</v>
      </c>
      <c r="G10" s="9" t="n">
        <f aca="false">D10/F10-1</f>
        <v>0.0573129562434145</v>
      </c>
      <c r="H10" s="8" t="n">
        <v>23330954.206934</v>
      </c>
      <c r="I10" s="9" t="n">
        <f aca="false">D10/H10</f>
        <v>0.889267464180861</v>
      </c>
      <c r="J10" s="8" t="n">
        <v>23200000</v>
      </c>
      <c r="K10" s="9" t="n">
        <f aca="false">D10/J10</f>
        <v>0.894287003643103</v>
      </c>
      <c r="L10" s="1"/>
    </row>
    <row r="11" customFormat="false" ht="14" hidden="false" customHeight="true" outlineLevel="0" collapsed="false">
      <c r="A11" s="1"/>
      <c r="B11" s="7" t="s">
        <v>18</v>
      </c>
      <c r="C11" s="8" t="n">
        <v>62390797</v>
      </c>
      <c r="D11" s="8" t="n">
        <v>16170046.30114</v>
      </c>
      <c r="E11" s="9" t="n">
        <f aca="false">D11/C11</f>
        <v>0.259173581339889</v>
      </c>
      <c r="F11" s="8" t="n">
        <v>18696415.96897</v>
      </c>
      <c r="G11" s="9" t="n">
        <f aca="false">D11/F11-1</f>
        <v>-0.135125880383864</v>
      </c>
      <c r="H11" s="8" t="n">
        <v>22055103.450623</v>
      </c>
      <c r="I11" s="9" t="n">
        <f aca="false">D11/H11</f>
        <v>0.733165742674548</v>
      </c>
      <c r="J11" s="8" t="n">
        <v>22160761.37</v>
      </c>
      <c r="K11" s="9" t="n">
        <f aca="false">D11/J11</f>
        <v>0.729670160296483</v>
      </c>
      <c r="L11" s="1"/>
    </row>
    <row r="12" customFormat="false" ht="14" hidden="false" customHeight="true" outlineLevel="0" collapsed="false">
      <c r="A12" s="1"/>
      <c r="B12" s="7" t="s">
        <v>19</v>
      </c>
      <c r="C12" s="8" t="n">
        <f aca="false">SUM(C6:C11)</f>
        <v>429637815</v>
      </c>
      <c r="D12" s="8" t="n">
        <f aca="false">SUM(D6:D11)</f>
        <v>123021044.15884</v>
      </c>
      <c r="E12" s="9" t="n">
        <f aca="false">D12/C12</f>
        <v>0.286336630212217</v>
      </c>
      <c r="F12" s="8" t="n">
        <f aca="false">SUM(F6:F11)</f>
        <v>127670833.75514</v>
      </c>
      <c r="G12" s="9" t="n">
        <f aca="false">D12/F12-1</f>
        <v>-0.0364201396633614</v>
      </c>
      <c r="H12" s="8" t="n">
        <f aca="false">SUM(H6:H11)</f>
        <v>151876669.505033</v>
      </c>
      <c r="I12" s="9" t="n">
        <f aca="false">D12/H12</f>
        <v>0.810006201477594</v>
      </c>
      <c r="J12" s="8" t="n">
        <f aca="false">SUM(J6:J11)</f>
        <v>150286410.87</v>
      </c>
      <c r="K12" s="9" t="n">
        <f aca="false">D12/J12</f>
        <v>0.818577298151428</v>
      </c>
      <c r="L12" s="1"/>
    </row>
    <row r="13" customFormat="false" ht="14" hidden="false" customHeight="true" outlineLevel="0" collapsed="false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4" hidden="false" customHeight="true" outlineLevel="0" collapsed="false">
      <c r="A14" s="1"/>
      <c r="B14" s="2"/>
      <c r="C14" s="3"/>
      <c r="D14" s="1"/>
      <c r="E14" s="1"/>
      <c r="F14" s="1"/>
      <c r="G14" s="11"/>
    </row>
    <row r="15" customFormat="false" ht="14" hidden="false" customHeight="true" outlineLevel="0" collapsed="false">
      <c r="A15" s="1"/>
      <c r="B15" s="6" t="s">
        <v>4</v>
      </c>
      <c r="C15" s="13" t="s">
        <v>21</v>
      </c>
      <c r="D15" s="13"/>
      <c r="E15" s="13"/>
      <c r="F15" s="13"/>
      <c r="G15" s="13"/>
    </row>
    <row r="16" customFormat="false" ht="27" hidden="false" customHeight="true" outlineLevel="0" collapsed="false">
      <c r="A16" s="1"/>
      <c r="B16" s="6"/>
      <c r="C16" s="13" t="s">
        <v>28</v>
      </c>
      <c r="D16" s="13" t="s">
        <v>29</v>
      </c>
      <c r="E16" s="13" t="s">
        <v>30</v>
      </c>
      <c r="F16" s="13" t="s">
        <v>31</v>
      </c>
      <c r="G16" s="13" t="s">
        <v>32</v>
      </c>
    </row>
    <row r="17" customFormat="false" ht="14" hidden="false" customHeight="true" outlineLevel="0" collapsed="false">
      <c r="A17" s="1"/>
      <c r="B17" s="7" t="s">
        <v>13</v>
      </c>
      <c r="C17" s="8" t="n">
        <v>495666755.175757</v>
      </c>
      <c r="D17" s="8" t="n">
        <v>506564593.3791</v>
      </c>
      <c r="E17" s="9" t="n">
        <v>1.02198621975258</v>
      </c>
      <c r="F17" s="8" t="n">
        <v>466418048.39006</v>
      </c>
      <c r="G17" s="9" t="n">
        <v>0.0860741670002143</v>
      </c>
    </row>
    <row r="18" customFormat="false" ht="14" hidden="false" customHeight="true" outlineLevel="0" collapsed="false">
      <c r="A18" s="1"/>
      <c r="B18" s="7" t="s">
        <v>14</v>
      </c>
      <c r="C18" s="8" t="n">
        <v>945422314.413868</v>
      </c>
      <c r="D18" s="8" t="n">
        <v>744935248.35337</v>
      </c>
      <c r="E18" s="9" t="n">
        <v>0.787939143170326</v>
      </c>
      <c r="F18" s="8" t="n">
        <v>784765367.14971</v>
      </c>
      <c r="G18" s="9" t="n">
        <v>-0.050754175023044</v>
      </c>
    </row>
    <row r="19" customFormat="false" ht="14" hidden="false" customHeight="true" outlineLevel="0" collapsed="false">
      <c r="A19" s="1"/>
      <c r="B19" s="7" t="s">
        <v>15</v>
      </c>
      <c r="C19" s="8" t="n">
        <v>81144440.3152729</v>
      </c>
      <c r="D19" s="8" t="n">
        <v>99397434.68319</v>
      </c>
      <c r="E19" s="9" t="n">
        <v>1.22494448537692</v>
      </c>
      <c r="F19" s="8" t="n">
        <v>69371312.19781</v>
      </c>
      <c r="G19" s="9" t="n">
        <v>0.432831981032181</v>
      </c>
    </row>
    <row r="20" customFormat="false" ht="14" hidden="false" customHeight="true" outlineLevel="0" collapsed="false">
      <c r="A20" s="1"/>
      <c r="B20" s="7" t="s">
        <v>16</v>
      </c>
      <c r="C20" s="8" t="n">
        <v>768164343.942579</v>
      </c>
      <c r="D20" s="8" t="n">
        <v>709228238.80725</v>
      </c>
      <c r="E20" s="9" t="n">
        <v>0.923276697753451</v>
      </c>
      <c r="F20" s="8" t="n">
        <v>678442544.39174</v>
      </c>
      <c r="G20" s="9" t="n">
        <v>0.0453770104336704</v>
      </c>
    </row>
    <row r="21" customFormat="false" ht="14" hidden="false" customHeight="true" outlineLevel="0" collapsed="false">
      <c r="A21" s="1"/>
      <c r="B21" s="7" t="s">
        <v>17</v>
      </c>
      <c r="C21" s="8" t="n">
        <v>665630014.206934</v>
      </c>
      <c r="D21" s="8" t="n">
        <v>547577330.07552</v>
      </c>
      <c r="E21" s="9" t="n">
        <v>0.822645190854159</v>
      </c>
      <c r="F21" s="8" t="n">
        <v>591750409.31229</v>
      </c>
      <c r="G21" s="9" t="n">
        <v>-0.0746481600039893</v>
      </c>
    </row>
    <row r="22" customFormat="false" ht="14" hidden="false" customHeight="true" outlineLevel="0" collapsed="false">
      <c r="A22" s="1"/>
      <c r="B22" s="7" t="s">
        <v>18</v>
      </c>
      <c r="C22" s="8" t="n">
        <v>446708648.450623</v>
      </c>
      <c r="D22" s="8" t="n">
        <v>360781794.10626</v>
      </c>
      <c r="E22" s="9" t="n">
        <v>0.80764452480964</v>
      </c>
      <c r="F22" s="8" t="n">
        <v>394915314.23439</v>
      </c>
      <c r="G22" s="9" t="n">
        <v>-0.0864325056482137</v>
      </c>
    </row>
    <row r="23" customFormat="false" ht="14" hidden="false" customHeight="true" outlineLevel="0" collapsed="false">
      <c r="A23" s="1"/>
      <c r="B23" s="7" t="s">
        <v>19</v>
      </c>
      <c r="C23" s="8" t="n">
        <v>3402736516.50503</v>
      </c>
      <c r="D23" s="8" t="n">
        <v>2968484639.40469</v>
      </c>
      <c r="E23" s="9" t="n">
        <v>0.872381574361107</v>
      </c>
      <c r="F23" s="8" t="n">
        <v>2985662995.676</v>
      </c>
      <c r="G23" s="9" t="n">
        <v>-0.00575361529288099</v>
      </c>
    </row>
    <row r="26" customFormat="false" ht="14" hidden="false" customHeight="true" outlineLevel="0" collapsed="false">
      <c r="B26" s="2" t="s">
        <v>51</v>
      </c>
      <c r="C26" s="11"/>
      <c r="D26" s="1"/>
      <c r="E26" s="1"/>
      <c r="F26" s="1"/>
      <c r="G26" s="1"/>
      <c r="H26" s="1"/>
      <c r="I26" s="1"/>
      <c r="J26" s="1"/>
      <c r="K26" s="1"/>
    </row>
    <row r="27" customFormat="false" ht="27" hidden="false" customHeight="true" outlineLevel="0" collapsed="false">
      <c r="B27" s="6" t="s">
        <v>52</v>
      </c>
      <c r="C27" s="6" t="s">
        <v>53</v>
      </c>
      <c r="D27" s="6" t="s">
        <v>54</v>
      </c>
      <c r="E27" s="6" t="s">
        <v>55</v>
      </c>
      <c r="F27" s="16" t="s">
        <v>56</v>
      </c>
      <c r="G27" s="16" t="s">
        <v>57</v>
      </c>
      <c r="H27" s="16" t="s">
        <v>58</v>
      </c>
      <c r="I27" s="16" t="s">
        <v>59</v>
      </c>
      <c r="J27" s="16" t="s">
        <v>60</v>
      </c>
      <c r="K27" s="1"/>
    </row>
    <row r="28" customFormat="false" ht="14" hidden="false" customHeight="true" outlineLevel="0" collapsed="false">
      <c r="B28" s="17" t="s">
        <v>70</v>
      </c>
      <c r="C28" s="8" t="n">
        <v>86706122.466722</v>
      </c>
      <c r="D28" s="8" t="n">
        <v>57491911.492985</v>
      </c>
      <c r="E28" s="8" t="n">
        <v>11953627.5577231</v>
      </c>
      <c r="F28" s="12" t="n">
        <v>0.207918422736416</v>
      </c>
      <c r="G28" s="12" t="n">
        <v>0.208874994</v>
      </c>
      <c r="H28" s="9" t="n">
        <v>-0.000956571263584421</v>
      </c>
      <c r="I28" s="9" t="n">
        <v>0.99542036485428</v>
      </c>
      <c r="J28" s="8" t="n">
        <v>-54995.1104227284</v>
      </c>
      <c r="K28" s="19" t="s">
        <v>144</v>
      </c>
    </row>
    <row r="29" customFormat="false" ht="14" hidden="false" customHeight="true" outlineLevel="0" collapsed="false">
      <c r="B29" s="17" t="s">
        <v>21</v>
      </c>
      <c r="C29" s="8" t="n">
        <v>2933397668.88252</v>
      </c>
      <c r="D29" s="8" t="n">
        <v>2046335727.8968</v>
      </c>
      <c r="E29" s="8" t="n">
        <v>395350575.120546</v>
      </c>
      <c r="F29" s="12" t="n">
        <v>0.193199273086476</v>
      </c>
      <c r="G29" s="12" t="n">
        <v>0.193997761199854</v>
      </c>
      <c r="H29" s="9" t="n">
        <v>-0.000798488113378126</v>
      </c>
      <c r="I29" s="9" t="n">
        <v>0.995884034390709</v>
      </c>
      <c r="J29" s="8" t="n">
        <v>-1633974.75470659</v>
      </c>
      <c r="K29" s="1"/>
    </row>
    <row r="32" customFormat="false" ht="14" hidden="false" customHeight="true" outlineLevel="0" collapsed="false">
      <c r="B32" s="2" t="s">
        <v>73</v>
      </c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4" hidden="false" customHeight="true" outlineLevel="0" collapsed="false">
      <c r="B33" s="5" t="s">
        <v>3</v>
      </c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4" hidden="false" customHeight="true" outlineLevel="0" collapsed="false">
      <c r="B34" s="21" t="s">
        <v>4</v>
      </c>
      <c r="C34" s="21" t="s">
        <v>74</v>
      </c>
      <c r="D34" s="21"/>
      <c r="E34" s="21"/>
      <c r="F34" s="21"/>
      <c r="G34" s="21"/>
      <c r="H34" s="22" t="s">
        <v>75</v>
      </c>
      <c r="I34" s="22"/>
      <c r="J34" s="22"/>
      <c r="K34" s="22"/>
      <c r="L34" s="23" t="s">
        <v>76</v>
      </c>
      <c r="M34" s="23"/>
      <c r="N34" s="23"/>
      <c r="O34" s="23"/>
    </row>
    <row r="35" customFormat="false" ht="27" hidden="false" customHeight="true" outlineLevel="0" collapsed="false">
      <c r="B35" s="21"/>
      <c r="C35" s="21" t="s">
        <v>77</v>
      </c>
      <c r="D35" s="21" t="s">
        <v>78</v>
      </c>
      <c r="E35" s="21" t="s">
        <v>79</v>
      </c>
      <c r="F35" s="21" t="s">
        <v>80</v>
      </c>
      <c r="G35" s="21" t="s">
        <v>81</v>
      </c>
      <c r="H35" s="22" t="s">
        <v>82</v>
      </c>
      <c r="I35" s="22" t="s">
        <v>83</v>
      </c>
      <c r="J35" s="24" t="s">
        <v>84</v>
      </c>
      <c r="K35" s="24" t="s">
        <v>85</v>
      </c>
      <c r="L35" s="23" t="s">
        <v>82</v>
      </c>
      <c r="M35" s="23" t="s">
        <v>83</v>
      </c>
      <c r="N35" s="25" t="s">
        <v>84</v>
      </c>
      <c r="O35" s="25" t="s">
        <v>85</v>
      </c>
    </row>
    <row r="36" customFormat="false" ht="14" hidden="false" customHeight="true" outlineLevel="0" collapsed="false">
      <c r="B36" s="7" t="s">
        <v>16</v>
      </c>
      <c r="C36" s="26" t="n">
        <v>116.72184</v>
      </c>
      <c r="D36" s="27" t="n">
        <v>120</v>
      </c>
      <c r="E36" s="27" t="n">
        <v>0</v>
      </c>
      <c r="F36" s="12" t="n">
        <v>0.972682</v>
      </c>
      <c r="G36" s="12" t="n">
        <v>0.027318</v>
      </c>
      <c r="H36" s="12" t="n">
        <v>0.795359</v>
      </c>
      <c r="I36" s="12" t="n">
        <v>0.828298</v>
      </c>
      <c r="J36" s="12" t="n">
        <v>-3.2939</v>
      </c>
      <c r="K36" s="28" t="n">
        <v>-2</v>
      </c>
      <c r="L36" s="12" t="n">
        <v>0.99276</v>
      </c>
      <c r="M36" s="12" t="n">
        <v>0.858998</v>
      </c>
      <c r="N36" s="12" t="n">
        <v>13.3762</v>
      </c>
      <c r="O36" s="12" t="n">
        <v>-2</v>
      </c>
    </row>
    <row r="37" customFormat="false" ht="14" hidden="false" customHeight="true" outlineLevel="0" collapsed="false">
      <c r="B37" s="7" t="s">
        <v>17</v>
      </c>
      <c r="C37" s="26" t="n">
        <v>0</v>
      </c>
      <c r="D37" s="27" t="n">
        <v>0</v>
      </c>
      <c r="E37" s="27" t="n">
        <v>0</v>
      </c>
      <c r="F37" s="12" t="n">
        <v>0.518075</v>
      </c>
      <c r="G37" s="12" t="n">
        <v>0.481925</v>
      </c>
      <c r="H37" s="12" t="n">
        <v>0.892307</v>
      </c>
      <c r="I37" s="12" t="n">
        <v>0.863814</v>
      </c>
      <c r="J37" s="12" t="n">
        <v>2.8493</v>
      </c>
      <c r="K37" s="28" t="n">
        <v>-2</v>
      </c>
      <c r="L37" s="12" t="n">
        <v>0.951893</v>
      </c>
      <c r="M37" s="12" t="n">
        <v>0.894514</v>
      </c>
      <c r="N37" s="12" t="n">
        <v>5.73790000000001</v>
      </c>
      <c r="O37" s="12" t="n">
        <v>-2</v>
      </c>
    </row>
    <row r="38" customFormat="false" ht="14" hidden="false" customHeight="true" outlineLevel="0" collapsed="false">
      <c r="B38" s="7" t="s">
        <v>18</v>
      </c>
      <c r="C38" s="26" t="n">
        <v>120</v>
      </c>
      <c r="D38" s="27" t="n">
        <v>120</v>
      </c>
      <c r="E38" s="27" t="n">
        <v>120</v>
      </c>
      <c r="F38" s="12" t="n">
        <v>0.920329</v>
      </c>
      <c r="G38" s="12" t="n">
        <v>0.079671</v>
      </c>
      <c r="H38" s="12" t="n">
        <v>0.756126</v>
      </c>
      <c r="I38" s="12" t="n">
        <v>0.790822</v>
      </c>
      <c r="J38" s="12" t="n">
        <v>-3.4696</v>
      </c>
      <c r="K38" s="28" t="n">
        <v>-2</v>
      </c>
      <c r="L38" s="12" t="n">
        <v>0.786064</v>
      </c>
      <c r="M38" s="12" t="n">
        <v>0.821522</v>
      </c>
      <c r="N38" s="12" t="n">
        <v>-3.5458</v>
      </c>
      <c r="O38" s="12" t="n">
        <v>-2</v>
      </c>
    </row>
    <row r="39" customFormat="false" ht="14" hidden="false" customHeight="true" outlineLevel="0" collapsed="false">
      <c r="B39" s="7" t="s">
        <v>13</v>
      </c>
      <c r="C39" s="26" t="n">
        <v>80.872931292</v>
      </c>
      <c r="D39" s="27" t="n">
        <v>92.644</v>
      </c>
      <c r="E39" s="27" t="n">
        <v>0</v>
      </c>
      <c r="F39" s="12" t="n">
        <v>0.872943</v>
      </c>
      <c r="G39" s="12" t="n">
        <v>0.127057</v>
      </c>
      <c r="H39" s="12" t="n">
        <v>0.812314</v>
      </c>
      <c r="I39" s="12" t="n">
        <v>0.828636</v>
      </c>
      <c r="J39" s="12" t="n">
        <v>-1.6322</v>
      </c>
      <c r="K39" s="28" t="n">
        <v>-2</v>
      </c>
      <c r="L39" s="12" t="n">
        <v>0.879765</v>
      </c>
      <c r="M39" s="12" t="n">
        <v>0.859336</v>
      </c>
      <c r="N39" s="12" t="n">
        <v>2.0429</v>
      </c>
      <c r="O39" s="12" t="n">
        <v>-2</v>
      </c>
    </row>
    <row r="40" customFormat="false" ht="14" hidden="false" customHeight="true" outlineLevel="0" collapsed="false">
      <c r="B40" s="7" t="s">
        <v>14</v>
      </c>
      <c r="C40" s="26" t="n">
        <v>0</v>
      </c>
      <c r="D40" s="27" t="n">
        <v>0</v>
      </c>
      <c r="E40" s="27" t="n">
        <v>0</v>
      </c>
      <c r="F40" s="12" t="n">
        <v>0.823187</v>
      </c>
      <c r="G40" s="12" t="n">
        <v>0.176813</v>
      </c>
      <c r="H40" s="12" t="n">
        <v>0.886921</v>
      </c>
      <c r="I40" s="12" t="n">
        <v>0.832101</v>
      </c>
      <c r="J40" s="12" t="n">
        <v>5.482</v>
      </c>
      <c r="K40" s="28" t="n">
        <v>-2</v>
      </c>
      <c r="L40" s="12" t="n">
        <v>0.886819</v>
      </c>
      <c r="M40" s="12" t="n">
        <v>0.862801</v>
      </c>
      <c r="N40" s="12" t="n">
        <v>2.40180000000001</v>
      </c>
      <c r="O40" s="12" t="n">
        <v>-2</v>
      </c>
    </row>
    <row r="41" customFormat="false" ht="14" hidden="false" customHeight="true" outlineLevel="0" collapsed="false">
      <c r="B41" s="7" t="s">
        <v>15</v>
      </c>
      <c r="C41" s="26" t="n">
        <v>120</v>
      </c>
      <c r="D41" s="27" t="n">
        <v>120</v>
      </c>
      <c r="E41" s="27" t="s">
        <v>86</v>
      </c>
      <c r="F41" s="12" t="n">
        <v>1</v>
      </c>
      <c r="G41" s="12" t="n">
        <v>0</v>
      </c>
      <c r="H41" s="12" t="n">
        <v>0.725952</v>
      </c>
      <c r="I41" s="12" t="n">
        <v>0.850297</v>
      </c>
      <c r="J41" s="12" t="n">
        <v>-12.4345</v>
      </c>
      <c r="K41" s="28" t="n">
        <v>-2</v>
      </c>
      <c r="L41" s="12" t="s">
        <v>86</v>
      </c>
      <c r="M41" s="12" t="n">
        <v>0.880997</v>
      </c>
      <c r="N41" s="12" t="s">
        <v>86</v>
      </c>
      <c r="O41" s="12" t="n">
        <v>-2</v>
      </c>
    </row>
    <row r="42" customFormat="false" ht="14" hidden="false" customHeight="true" outlineLevel="0" collapsed="false">
      <c r="B42" s="7" t="s">
        <v>19</v>
      </c>
      <c r="C42" s="29" t="n">
        <v>54.466661284</v>
      </c>
      <c r="D42" s="30" t="n">
        <v>62.468</v>
      </c>
      <c r="E42" s="30" t="n">
        <v>0</v>
      </c>
      <c r="F42" s="12" t="n">
        <v>0.871913</v>
      </c>
      <c r="G42" s="12" t="n">
        <v>0.128087</v>
      </c>
      <c r="H42" s="12" t="n">
        <v>0.822958</v>
      </c>
      <c r="I42" s="12" t="n">
        <v>0.824192</v>
      </c>
      <c r="J42" s="12" t="n">
        <v>-0.1234</v>
      </c>
      <c r="K42" s="28" t="n">
        <v>-2</v>
      </c>
      <c r="L42" s="12" t="n">
        <v>0.877627</v>
      </c>
      <c r="M42" s="12" t="n">
        <v>0.854892</v>
      </c>
      <c r="N42" s="12" t="n">
        <v>2.2735</v>
      </c>
      <c r="O42" s="12" t="n">
        <v>-2</v>
      </c>
    </row>
    <row r="43" customFormat="false" ht="14" hidden="false" customHeight="true" outlineLevel="0" collapsed="false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5" customFormat="false" ht="14" hidden="false" customHeight="true" outlineLevel="0" collapsed="false">
      <c r="B45" s="2" t="s">
        <v>96</v>
      </c>
      <c r="C45" s="1"/>
      <c r="D45" s="1"/>
      <c r="E45" s="1"/>
      <c r="F45" s="1"/>
      <c r="G45" s="1"/>
      <c r="H45" s="1"/>
    </row>
    <row r="46" customFormat="false" ht="14" hidden="false" customHeight="true" outlineLevel="0" collapsed="false">
      <c r="B46" s="34" t="s">
        <v>4</v>
      </c>
      <c r="C46" s="38" t="s">
        <v>3</v>
      </c>
      <c r="D46" s="38"/>
      <c r="E46" s="38"/>
      <c r="F46" s="32" t="s">
        <v>21</v>
      </c>
      <c r="G46" s="32"/>
      <c r="H46" s="32"/>
    </row>
    <row r="47" customFormat="false" ht="27" hidden="false" customHeight="true" outlineLevel="0" collapsed="false">
      <c r="B47" s="34"/>
      <c r="C47" s="34" t="s">
        <v>98</v>
      </c>
      <c r="D47" s="34" t="s">
        <v>99</v>
      </c>
      <c r="E47" s="34" t="s">
        <v>97</v>
      </c>
      <c r="F47" s="35" t="s">
        <v>98</v>
      </c>
      <c r="G47" s="35" t="s">
        <v>99</v>
      </c>
      <c r="H47" s="35" t="s">
        <v>97</v>
      </c>
    </row>
    <row r="48" customFormat="false" ht="14" hidden="false" customHeight="true" outlineLevel="0" collapsed="false">
      <c r="B48" s="7" t="s">
        <v>15</v>
      </c>
      <c r="C48" s="20" t="n">
        <v>0.952824178376083</v>
      </c>
      <c r="D48" s="20" t="n">
        <v>0.938056258699343</v>
      </c>
      <c r="E48" s="20" t="n">
        <f aca="false">D48-C48</f>
        <v>-0.0147679196767401</v>
      </c>
      <c r="F48" s="20" t="n">
        <f aca="false">AVERAGE(C48,I48,L48,O48,R48,U48,X48)</f>
        <v>0.952824178376083</v>
      </c>
      <c r="G48" s="20" t="n">
        <f aca="false">AVERAGE(D48,J48,M48,P48,S48,V48,Y48)</f>
        <v>0.938056258699343</v>
      </c>
      <c r="H48" s="20" t="n">
        <f aca="false">G48-F48</f>
        <v>-0.0147679196767401</v>
      </c>
    </row>
    <row r="49" customFormat="false" ht="14" hidden="false" customHeight="true" outlineLevel="0" collapsed="false">
      <c r="B49" s="7" t="s">
        <v>13</v>
      </c>
      <c r="C49" s="20" t="n">
        <v>0.943945358125853</v>
      </c>
      <c r="D49" s="20" t="n">
        <v>0.894567482998112</v>
      </c>
      <c r="E49" s="20" t="n">
        <f aca="false">D49-C49</f>
        <v>-0.0493778751277411</v>
      </c>
      <c r="F49" s="20" t="n">
        <f aca="false">AVERAGE(C49,I49,L49,O49,R49,U49,X49)</f>
        <v>0.943945358125853</v>
      </c>
      <c r="G49" s="20" t="n">
        <f aca="false">AVERAGE(D49,J49,M49,P49,S49,V49,Y49)</f>
        <v>0.894567482998112</v>
      </c>
      <c r="H49" s="20" t="n">
        <f aca="false">G49-F49</f>
        <v>-0.0493778751277411</v>
      </c>
    </row>
    <row r="50" customFormat="false" ht="14" hidden="false" customHeight="true" outlineLevel="0" collapsed="false">
      <c r="B50" s="7" t="s">
        <v>14</v>
      </c>
      <c r="C50" s="20" t="n">
        <v>0.944412516500118</v>
      </c>
      <c r="D50" s="20" t="n">
        <v>0.890695939516579</v>
      </c>
      <c r="E50" s="20" t="n">
        <f aca="false">D50-C50</f>
        <v>-0.053716576983539</v>
      </c>
      <c r="F50" s="20" t="n">
        <f aca="false">AVERAGE(C50,I50,L50,O50,R50,U50,X50)</f>
        <v>0.944412516500118</v>
      </c>
      <c r="G50" s="20" t="n">
        <f aca="false">AVERAGE(D50,J50,M50,P50,S50,V50,Y50)</f>
        <v>0.890695939516579</v>
      </c>
      <c r="H50" s="20" t="n">
        <f aca="false">G50-F50</f>
        <v>-0.053716576983539</v>
      </c>
    </row>
    <row r="51" customFormat="false" ht="14" hidden="false" customHeight="true" outlineLevel="0" collapsed="false">
      <c r="B51" s="7" t="s">
        <v>16</v>
      </c>
      <c r="C51" s="20" t="n">
        <v>0.982354692322704</v>
      </c>
      <c r="D51" s="20" t="n">
        <v>0.870737439936682</v>
      </c>
      <c r="E51" s="20" t="n">
        <f aca="false">D51-C51</f>
        <v>-0.111617252386022</v>
      </c>
      <c r="F51" s="20" t="n">
        <f aca="false">AVERAGE(C51,I51,L51,O51,R51,U51,X51)</f>
        <v>0.982354692322704</v>
      </c>
      <c r="G51" s="20" t="n">
        <f aca="false">AVERAGE(D51,J51,M51,P51,S51,V51,Y51)</f>
        <v>0.870737439936682</v>
      </c>
      <c r="H51" s="20" t="n">
        <f aca="false">G51-F51</f>
        <v>-0.111617252386022</v>
      </c>
    </row>
    <row r="52" customFormat="false" ht="14" hidden="false" customHeight="true" outlineLevel="0" collapsed="false">
      <c r="B52" s="7" t="s">
        <v>17</v>
      </c>
      <c r="C52" s="20" t="n">
        <v>0.987051812381102</v>
      </c>
      <c r="D52" s="20" t="n">
        <v>0.858219294218729</v>
      </c>
      <c r="E52" s="20" t="n">
        <f aca="false">D52-C52</f>
        <v>-0.128832518162373</v>
      </c>
      <c r="F52" s="20" t="n">
        <f aca="false">AVERAGE(C52,I52,L52,O52,R52,U52,X52)</f>
        <v>0.987051812381102</v>
      </c>
      <c r="G52" s="20" t="n">
        <f aca="false">AVERAGE(D52,J52,M52,P52,S52,V52,Y52)</f>
        <v>0.858219294218729</v>
      </c>
      <c r="H52" s="20" t="n">
        <f aca="false">G52-F52</f>
        <v>-0.128832518162373</v>
      </c>
    </row>
    <row r="53" customFormat="false" ht="14" hidden="false" customHeight="true" outlineLevel="0" collapsed="false">
      <c r="B53" s="7" t="s">
        <v>18</v>
      </c>
      <c r="C53" s="20" t="n">
        <v>0.957035608592015</v>
      </c>
      <c r="D53" s="20" t="n">
        <v>0.883045568692283</v>
      </c>
      <c r="E53" s="20" t="n">
        <f aca="false">D53-C53</f>
        <v>-0.073990039899732</v>
      </c>
      <c r="F53" s="20" t="n">
        <f aca="false">AVERAGE(C53,I53,L53,O53,R53,U53,X53)</f>
        <v>0.957035608592015</v>
      </c>
      <c r="G53" s="20" t="n">
        <f aca="false">AVERAGE(D53,J53,M53,P53,S53,V53,Y53)</f>
        <v>0.883045568692283</v>
      </c>
      <c r="H53" s="20" t="n">
        <f aca="false">G53-F53</f>
        <v>-0.073990039899732</v>
      </c>
    </row>
    <row r="54" customFormat="false" ht="14" hidden="false" customHeight="true" outlineLevel="0" collapsed="false">
      <c r="B54" s="7" t="s">
        <v>19</v>
      </c>
      <c r="C54" s="20" t="n">
        <v>0.950647113269463</v>
      </c>
      <c r="D54" s="20" t="n">
        <v>0.888722674948435</v>
      </c>
      <c r="E54" s="20" t="n">
        <f aca="false">D54-C54</f>
        <v>-0.061924438321028</v>
      </c>
      <c r="F54" s="20" t="n">
        <f aca="false">AVERAGE(C54,I54,L54,O54,R54,U54,X54)</f>
        <v>0.950647113269463</v>
      </c>
      <c r="G54" s="20" t="n">
        <f aca="false">AVERAGE(D54,J54,M54,P54,S54,V54,Y54)</f>
        <v>0.888722674948435</v>
      </c>
      <c r="H54" s="20" t="n">
        <f aca="false">G54-F54</f>
        <v>-0.061924438321028</v>
      </c>
    </row>
    <row r="57" customFormat="false" ht="14" hidden="false" customHeight="true" outlineLevel="0" collapsed="false">
      <c r="B57" s="2" t="s">
        <v>100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4" hidden="false" customHeight="true" outlineLevel="0" collapsed="false">
      <c r="B58" s="5" t="s">
        <v>3</v>
      </c>
      <c r="C58" s="1"/>
      <c r="D58" s="1"/>
      <c r="E58" s="1"/>
      <c r="F58" s="1"/>
      <c r="G58" s="11"/>
      <c r="H58" s="12"/>
      <c r="I58" s="1"/>
      <c r="J58" s="11"/>
      <c r="K58" s="12"/>
      <c r="L58" s="1"/>
      <c r="M58" s="1"/>
      <c r="N58" s="1"/>
      <c r="O58" s="1"/>
      <c r="P58" s="11"/>
    </row>
    <row r="59" customFormat="false" ht="27" hidden="false" customHeight="true" outlineLevel="0" collapsed="false">
      <c r="B59" s="34" t="s">
        <v>4</v>
      </c>
      <c r="C59" s="34" t="s">
        <v>145</v>
      </c>
      <c r="D59" s="34" t="s">
        <v>146</v>
      </c>
      <c r="E59" s="40" t="s">
        <v>147</v>
      </c>
      <c r="F59" s="40" t="s">
        <v>148</v>
      </c>
      <c r="G59" s="41" t="s">
        <v>101</v>
      </c>
      <c r="H59" s="34" t="s">
        <v>149</v>
      </c>
      <c r="I59" s="34" t="s">
        <v>150</v>
      </c>
      <c r="J59" s="38" t="s">
        <v>102</v>
      </c>
      <c r="K59" s="40" t="s">
        <v>151</v>
      </c>
      <c r="L59" s="40" t="s">
        <v>152</v>
      </c>
      <c r="M59" s="41" t="s">
        <v>103</v>
      </c>
      <c r="N59" s="34" t="s">
        <v>153</v>
      </c>
      <c r="O59" s="34" t="s">
        <v>154</v>
      </c>
      <c r="P59" s="38" t="s">
        <v>104</v>
      </c>
    </row>
    <row r="60" customFormat="false" ht="14" hidden="false" customHeight="true" outlineLevel="0" collapsed="false">
      <c r="B60" s="7" t="s">
        <v>105</v>
      </c>
      <c r="C60" s="42" t="n">
        <v>1444.36363636364</v>
      </c>
      <c r="D60" s="12" t="n">
        <v>0.706319234642497</v>
      </c>
      <c r="E60" s="12" t="n">
        <v>0.893881</v>
      </c>
      <c r="F60" s="12" t="n">
        <v>0.8146325152</v>
      </c>
      <c r="G60" s="9" t="n">
        <f aca="false">IFERROR(E60-F60,"(NULL)")</f>
        <v>0.0792484848</v>
      </c>
      <c r="H60" s="12" t="n">
        <v>0.887369</v>
      </c>
      <c r="I60" s="12" t="n">
        <v>0.8207995184</v>
      </c>
      <c r="J60" s="9" t="n">
        <f aca="false">IFERROR(H60-I60,"(NULL)")</f>
        <v>0.0665694816</v>
      </c>
      <c r="K60" s="12" t="n">
        <v>0.770731707317073</v>
      </c>
      <c r="L60" s="12" t="n">
        <v>0.8082191781</v>
      </c>
      <c r="M60" s="9" t="n">
        <f aca="false">IFERROR(K60-L60,"(NULL)")</f>
        <v>-0.037487470782927</v>
      </c>
      <c r="N60" s="12" t="n">
        <v>0.0635702352777391</v>
      </c>
      <c r="O60" s="12" t="n">
        <v>0.0611152139</v>
      </c>
      <c r="P60" s="9" t="n">
        <f aca="false">IFERROR(N60-O60,"(NULL)")</f>
        <v>0.0024550213777391</v>
      </c>
    </row>
    <row r="61" customFormat="false" ht="14" hidden="false" customHeight="true" outlineLevel="0" collapsed="false">
      <c r="B61" s="7" t="s">
        <v>15</v>
      </c>
      <c r="C61" s="42" t="n">
        <v>112.181818181818</v>
      </c>
      <c r="D61" s="12" t="n">
        <v>0.242301458670989</v>
      </c>
      <c r="E61" s="12" t="n">
        <v>0.725952</v>
      </c>
      <c r="F61" s="12" t="n">
        <v>0.7556221149</v>
      </c>
      <c r="G61" s="9" t="n">
        <f aca="false">IFERROR(E61-F61,"(NULL)")</f>
        <v>-0.0296701148999999</v>
      </c>
      <c r="H61" s="12" t="s">
        <v>86</v>
      </c>
      <c r="I61" s="12" t="n">
        <v>0.8207995184</v>
      </c>
      <c r="J61" s="9" t="str">
        <f aca="false">IFERROR(H61-I61,"(NULL)")</f>
        <v>(NULL)</v>
      </c>
      <c r="K61" s="12" t="n">
        <v>0.5</v>
      </c>
      <c r="L61" s="12" t="n">
        <v>0.8082191781</v>
      </c>
      <c r="M61" s="9" t="n">
        <f aca="false">IFERROR(K61-L61,"(NULL)")</f>
        <v>-0.3082191781</v>
      </c>
      <c r="N61" s="12" t="n">
        <v>0.163297045101089</v>
      </c>
      <c r="O61" s="12" t="n">
        <v>0.0611152139</v>
      </c>
      <c r="P61" s="9" t="n">
        <f aca="false">IFERROR(N61-O61,"(NULL)")</f>
        <v>0.102181831201089</v>
      </c>
    </row>
    <row r="62" customFormat="false" ht="14" hidden="false" customHeight="true" outlineLevel="0" collapsed="false">
      <c r="B62" s="7" t="s">
        <v>13</v>
      </c>
      <c r="C62" s="42" t="n">
        <v>348.363636363636</v>
      </c>
      <c r="D62" s="12" t="n">
        <v>0.719989561586639</v>
      </c>
      <c r="E62" s="12" t="n">
        <v>0.884512</v>
      </c>
      <c r="F62" s="12" t="n">
        <v>0.8066</v>
      </c>
      <c r="G62" s="9" t="n">
        <f aca="false">IFERROR(E62-F62,"(NULL)")</f>
        <v>0.077912</v>
      </c>
      <c r="H62" s="12" t="n">
        <v>0.886764</v>
      </c>
      <c r="I62" s="12" t="n">
        <v>0.8207995184</v>
      </c>
      <c r="J62" s="9" t="n">
        <f aca="false">IFERROR(H62-I62,"(NULL)")</f>
        <v>0.0659644816</v>
      </c>
      <c r="K62" s="12" t="n">
        <v>1</v>
      </c>
      <c r="L62" s="12" t="n">
        <v>0.8082191781</v>
      </c>
      <c r="M62" s="9" t="n">
        <f aca="false">IFERROR(K62-L62,"(NULL)")</f>
        <v>0.1917808219</v>
      </c>
      <c r="N62" s="12" t="n">
        <v>0.055153451134204</v>
      </c>
      <c r="O62" s="12" t="n">
        <v>0.0611152139</v>
      </c>
      <c r="P62" s="9" t="n">
        <f aca="false">IFERROR(N62-O62,"(NULL)")</f>
        <v>-0.005961762765796</v>
      </c>
    </row>
    <row r="63" customFormat="false" ht="14" hidden="false" customHeight="true" outlineLevel="0" collapsed="false">
      <c r="B63" s="7" t="s">
        <v>14</v>
      </c>
      <c r="C63" s="42" t="n">
        <v>885.727272727273</v>
      </c>
      <c r="D63" s="12" t="n">
        <v>0.796674535563995</v>
      </c>
      <c r="E63" s="12" t="n">
        <v>0.91237</v>
      </c>
      <c r="F63" s="12" t="n">
        <v>0.8078</v>
      </c>
      <c r="G63" s="9" t="n">
        <f aca="false">IFERROR(E63-F63,"(NULL)")</f>
        <v>0.10457</v>
      </c>
      <c r="H63" s="12" t="n">
        <v>0.889744</v>
      </c>
      <c r="I63" s="12" t="n">
        <v>0.8207995184</v>
      </c>
      <c r="J63" s="9" t="n">
        <f aca="false">IFERROR(H63-I63,"(NULL)")</f>
        <v>0.0689444816</v>
      </c>
      <c r="K63" s="12" t="n">
        <v>0.74585635359116</v>
      </c>
      <c r="L63" s="12" t="n">
        <v>0.8082191781</v>
      </c>
      <c r="M63" s="9" t="n">
        <f aca="false">IFERROR(K63-L63,"(NULL)")</f>
        <v>-0.06236282450884</v>
      </c>
      <c r="N63" s="12" t="n">
        <v>0.0690304574029915</v>
      </c>
      <c r="O63" s="12" t="n">
        <v>0.0611152139</v>
      </c>
      <c r="P63" s="9" t="n">
        <f aca="false">IFERROR(N63-O63,"(NULL)")</f>
        <v>0.00791524350299151</v>
      </c>
    </row>
    <row r="64" customFormat="false" ht="14" hidden="false" customHeight="true" outlineLevel="0" collapsed="false">
      <c r="B64" s="7" t="s">
        <v>16</v>
      </c>
      <c r="C64" s="42" t="n">
        <v>1</v>
      </c>
      <c r="D64" s="12" t="n">
        <v>0.8</v>
      </c>
      <c r="E64" s="12" t="s">
        <v>86</v>
      </c>
      <c r="F64" s="12" t="n">
        <v>0.8417108422</v>
      </c>
      <c r="G64" s="9" t="str">
        <f aca="false">IFERROR(E64-F64,"(NULL)")</f>
        <v>(NULL)</v>
      </c>
      <c r="H64" s="12" t="n">
        <v>0.999768</v>
      </c>
      <c r="I64" s="12" t="n">
        <v>0.8207995184</v>
      </c>
      <c r="J64" s="9" t="n">
        <f aca="false">IFERROR(H64-I64,"(NULL)")</f>
        <v>0.1789684816</v>
      </c>
      <c r="K64" s="12" t="s">
        <v>86</v>
      </c>
      <c r="L64" s="12" t="n">
        <v>0.8082191781</v>
      </c>
      <c r="M64" s="9" t="str">
        <f aca="false">IFERROR(K64-L64,"(NULL)")</f>
        <v>(NULL)</v>
      </c>
      <c r="N64" s="12" t="n">
        <v>0</v>
      </c>
      <c r="O64" s="12" t="n">
        <v>0.0611152139</v>
      </c>
      <c r="P64" s="9" t="n">
        <f aca="false">IFERROR(N64-O64,"(NULL)")</f>
        <v>-0.0611152139</v>
      </c>
    </row>
    <row r="65" customFormat="false" ht="14" hidden="false" customHeight="true" outlineLevel="0" collapsed="false">
      <c r="B65" s="7" t="s">
        <v>17</v>
      </c>
      <c r="C65" s="42" t="n">
        <v>2</v>
      </c>
      <c r="D65" s="12" t="n">
        <v>0.636363636363636</v>
      </c>
      <c r="E65" s="12" t="s">
        <v>86</v>
      </c>
      <c r="F65" s="12" t="n">
        <v>0.7771375317</v>
      </c>
      <c r="G65" s="9" t="str">
        <f aca="false">IFERROR(E65-F65,"(NULL)")</f>
        <v>(NULL)</v>
      </c>
      <c r="H65" s="12" t="s">
        <v>86</v>
      </c>
      <c r="I65" s="12" t="n">
        <v>0.8207995184</v>
      </c>
      <c r="J65" s="9" t="str">
        <f aca="false">IFERROR(H65-I65,"(NULL)")</f>
        <v>(NULL)</v>
      </c>
      <c r="K65" s="12" t="s">
        <v>86</v>
      </c>
      <c r="L65" s="12" t="n">
        <v>0.8082191781</v>
      </c>
      <c r="M65" s="9" t="str">
        <f aca="false">IFERROR(K65-L65,"(NULL)")</f>
        <v>(NULL)</v>
      </c>
      <c r="N65" s="12" t="n">
        <v>0.242424242424242</v>
      </c>
      <c r="O65" s="12" t="n">
        <v>0.0611152139</v>
      </c>
      <c r="P65" s="9" t="n">
        <f aca="false">IFERROR(N65-O65,"(NULL)")</f>
        <v>0.181309028524242</v>
      </c>
    </row>
    <row r="66" customFormat="false" ht="14" hidden="false" customHeight="true" outlineLevel="0" collapsed="false">
      <c r="B66" s="7" t="s">
        <v>18</v>
      </c>
      <c r="C66" s="42" t="n">
        <v>95.1818181818182</v>
      </c>
      <c r="D66" s="12" t="n">
        <v>0.362941738299904</v>
      </c>
      <c r="E66" s="12" t="n">
        <v>0.838009</v>
      </c>
      <c r="F66" s="12" t="n">
        <v>0.8087257009</v>
      </c>
      <c r="G66" s="9" t="n">
        <f aca="false">IFERROR(E66-F66,"(NULL)")</f>
        <v>0.0292832991</v>
      </c>
      <c r="H66" s="12" t="n">
        <v>0.806524</v>
      </c>
      <c r="I66" s="12" t="n">
        <v>0.8207995184</v>
      </c>
      <c r="J66" s="9" t="n">
        <f aca="false">IFERROR(H66-I66,"(NULL)")</f>
        <v>-0.0142755184</v>
      </c>
      <c r="K66" s="12" t="s">
        <v>86</v>
      </c>
      <c r="L66" s="12" t="n">
        <v>0.8082191781</v>
      </c>
      <c r="M66" s="9" t="str">
        <f aca="false">IFERROR(K66-L66,"(NULL)")</f>
        <v>(NULL)</v>
      </c>
      <c r="N66" s="12" t="n">
        <v>0.020663404023926</v>
      </c>
      <c r="O66" s="12" t="n">
        <v>0.0611152139</v>
      </c>
      <c r="P66" s="9" t="n">
        <f aca="false">IFERROR(N66-O66,"(NULL)")</f>
        <v>-0.040451809876074</v>
      </c>
    </row>
    <row r="69" customFormat="false" ht="14" hidden="false" customHeight="true" outlineLevel="0" collapsed="false">
      <c r="B69" s="2" t="s">
        <v>106</v>
      </c>
      <c r="C69" s="1"/>
      <c r="D69" s="1"/>
      <c r="E69" s="1"/>
      <c r="F69" s="1"/>
      <c r="G69" s="1"/>
    </row>
    <row r="70" customFormat="false" ht="14" hidden="false" customHeight="true" outlineLevel="0" collapsed="false">
      <c r="B70" s="5" t="s">
        <v>3</v>
      </c>
      <c r="C70" s="1"/>
      <c r="D70" s="1"/>
      <c r="E70" s="1"/>
      <c r="F70" s="1"/>
      <c r="G70" s="1"/>
    </row>
    <row r="71" customFormat="false" ht="27" hidden="false" customHeight="true" outlineLevel="0" collapsed="false">
      <c r="B71" s="34" t="s">
        <v>4</v>
      </c>
      <c r="C71" s="34" t="s">
        <v>110</v>
      </c>
      <c r="D71" s="34" t="s">
        <v>111</v>
      </c>
      <c r="E71" s="34" t="s">
        <v>112</v>
      </c>
      <c r="F71" s="34" t="s">
        <v>107</v>
      </c>
      <c r="G71" s="34" t="s">
        <v>108</v>
      </c>
    </row>
    <row r="72" customFormat="false" ht="14" hidden="false" customHeight="true" outlineLevel="0" collapsed="false">
      <c r="B72" s="7" t="s">
        <v>15</v>
      </c>
      <c r="C72" s="17" t="n">
        <v>0</v>
      </c>
      <c r="D72" s="17" t="n">
        <v>0</v>
      </c>
      <c r="E72" s="17" t="n">
        <v>0</v>
      </c>
      <c r="F72" s="17" t="n">
        <f aca="false">SUM(C72:E72)</f>
        <v>0</v>
      </c>
      <c r="G72" s="9" t="str">
        <f aca="false">IFERROR(C72/F72,"-")</f>
        <v>-</v>
      </c>
    </row>
    <row r="73" customFormat="false" ht="14" hidden="false" customHeight="true" outlineLevel="0" collapsed="false">
      <c r="B73" s="7" t="s">
        <v>13</v>
      </c>
      <c r="C73" s="17" t="n">
        <v>0</v>
      </c>
      <c r="D73" s="17" t="n">
        <v>1</v>
      </c>
      <c r="E73" s="17" t="n">
        <v>0</v>
      </c>
      <c r="F73" s="17" t="n">
        <f aca="false">SUM(C73:E73)</f>
        <v>1</v>
      </c>
      <c r="G73" s="9" t="n">
        <f aca="false">IFERROR(C73/F73,"-")</f>
        <v>0</v>
      </c>
    </row>
    <row r="74" customFormat="false" ht="14" hidden="false" customHeight="true" outlineLevel="0" collapsed="false">
      <c r="B74" s="7" t="s">
        <v>14</v>
      </c>
      <c r="C74" s="17" t="n">
        <v>0</v>
      </c>
      <c r="D74" s="17" t="n">
        <v>17</v>
      </c>
      <c r="E74" s="17" t="n">
        <v>0</v>
      </c>
      <c r="F74" s="17" t="n">
        <f aca="false">SUM(C74:E74)</f>
        <v>17</v>
      </c>
      <c r="G74" s="9" t="n">
        <f aca="false">IFERROR(C74/F74,"-")</f>
        <v>0</v>
      </c>
    </row>
    <row r="75" customFormat="false" ht="14" hidden="false" customHeight="true" outlineLevel="0" collapsed="false">
      <c r="B75" s="7" t="s">
        <v>16</v>
      </c>
      <c r="C75" s="17" t="n">
        <v>0</v>
      </c>
      <c r="D75" s="17" t="n">
        <v>0</v>
      </c>
      <c r="E75" s="17" t="n">
        <v>0</v>
      </c>
      <c r="F75" s="17" t="n">
        <f aca="false">SUM(C75:E75)</f>
        <v>0</v>
      </c>
      <c r="G75" s="9" t="str">
        <f aca="false">IFERROR(C75/F75,"-")</f>
        <v>-</v>
      </c>
    </row>
    <row r="76" customFormat="false" ht="14" hidden="false" customHeight="true" outlineLevel="0" collapsed="false">
      <c r="B76" s="7" t="s">
        <v>17</v>
      </c>
      <c r="C76" s="17" t="n">
        <v>0</v>
      </c>
      <c r="D76" s="17" t="n">
        <v>0</v>
      </c>
      <c r="E76" s="17" t="n">
        <v>0</v>
      </c>
      <c r="F76" s="17" t="n">
        <f aca="false">SUM(C76:E76)</f>
        <v>0</v>
      </c>
      <c r="G76" s="9" t="str">
        <f aca="false">IFERROR(C76/F76,"-")</f>
        <v>-</v>
      </c>
    </row>
    <row r="77" customFormat="false" ht="14" hidden="false" customHeight="true" outlineLevel="0" collapsed="false">
      <c r="B77" s="7" t="s">
        <v>18</v>
      </c>
      <c r="C77" s="17" t="n">
        <v>0</v>
      </c>
      <c r="D77" s="17" t="n">
        <v>0</v>
      </c>
      <c r="E77" s="17" t="n">
        <v>0</v>
      </c>
      <c r="F77" s="17" t="n">
        <f aca="false">SUM(C77:E77)</f>
        <v>0</v>
      </c>
      <c r="G77" s="9" t="str">
        <f aca="false">IFERROR(C77/F77,"-")</f>
        <v>-</v>
      </c>
    </row>
    <row r="78" customFormat="false" ht="14" hidden="false" customHeight="true" outlineLevel="0" collapsed="false">
      <c r="B78" s="7" t="s">
        <v>105</v>
      </c>
      <c r="C78" s="17" t="n">
        <f aca="false">SUM(C72:C77)</f>
        <v>0</v>
      </c>
      <c r="D78" s="17" t="n">
        <f aca="false">SUM(D72:D77)</f>
        <v>18</v>
      </c>
      <c r="E78" s="17" t="n">
        <f aca="false">SUM(E72:E77)</f>
        <v>0</v>
      </c>
      <c r="F78" s="17" t="n">
        <f aca="false">SUM(C78:E78)</f>
        <v>18</v>
      </c>
      <c r="G78" s="9" t="n">
        <f aca="false">IFERROR(C78/F78,"-")</f>
        <v>0</v>
      </c>
    </row>
    <row r="81" customFormat="false" ht="14" hidden="false" customHeight="true" outlineLevel="0" collapsed="false">
      <c r="B81" s="2" t="s">
        <v>113</v>
      </c>
      <c r="C81" s="1"/>
      <c r="D81" s="1"/>
      <c r="E81" s="1"/>
      <c r="F81" s="1"/>
      <c r="G81" s="1"/>
      <c r="H81" s="1"/>
      <c r="I81" s="1"/>
    </row>
    <row r="82" customFormat="false" ht="14" hidden="false" customHeight="true" outlineLevel="0" collapsed="false">
      <c r="B82" s="5" t="s">
        <v>3</v>
      </c>
      <c r="C82" s="4"/>
      <c r="D82" s="1"/>
      <c r="E82" s="1"/>
      <c r="F82" s="1"/>
      <c r="G82" s="1"/>
      <c r="H82" s="1"/>
      <c r="I82" s="1"/>
    </row>
    <row r="83" customFormat="false" ht="14" hidden="false" customHeight="true" outlineLevel="0" collapsed="false">
      <c r="B83" s="34" t="s">
        <v>4</v>
      </c>
      <c r="C83" s="6" t="s">
        <v>5</v>
      </c>
      <c r="D83" s="6" t="s">
        <v>6</v>
      </c>
      <c r="E83" s="6" t="s">
        <v>7</v>
      </c>
      <c r="F83" s="6" t="s">
        <v>8</v>
      </c>
      <c r="G83" s="6" t="s">
        <v>9</v>
      </c>
      <c r="H83" s="6" t="s">
        <v>115</v>
      </c>
      <c r="I83" s="6" t="s">
        <v>116</v>
      </c>
    </row>
    <row r="84" customFormat="false" ht="14" hidden="false" customHeight="true" outlineLevel="0" collapsed="false">
      <c r="B84" s="7" t="s">
        <v>105</v>
      </c>
      <c r="C84" s="8" t="n">
        <v>5330303.15420214</v>
      </c>
      <c r="D84" s="8" t="n">
        <v>184648.5</v>
      </c>
      <c r="E84" s="12" t="n">
        <v>0.0346412754881366</v>
      </c>
      <c r="F84" s="8" t="n">
        <v>564595.36</v>
      </c>
      <c r="G84" s="12" t="n">
        <v>-0.672954272950454</v>
      </c>
      <c r="H84" s="8" t="n">
        <v>1884258.46666312</v>
      </c>
      <c r="I84" s="12" t="n">
        <v>0.0979953139480903</v>
      </c>
    </row>
    <row r="85" customFormat="false" ht="14" hidden="false" customHeight="true" outlineLevel="0" collapsed="false">
      <c r="B85" s="7" t="s">
        <v>15</v>
      </c>
      <c r="C85" s="8" t="n">
        <v>1705697.00934468</v>
      </c>
      <c r="D85" s="8" t="n">
        <v>58411.68</v>
      </c>
      <c r="E85" s="12" t="n">
        <v>0.034245050369433</v>
      </c>
      <c r="F85" s="8" t="n">
        <v>280660.25</v>
      </c>
      <c r="G85" s="12" t="n">
        <v>-0.791877617154549</v>
      </c>
      <c r="H85" s="8" t="n">
        <v>602962.709332199</v>
      </c>
      <c r="I85" s="12" t="n">
        <v>0.0968744486117438</v>
      </c>
    </row>
    <row r="86" customFormat="false" ht="14" hidden="false" customHeight="true" outlineLevel="0" collapsed="false">
      <c r="B86" s="7" t="s">
        <v>13</v>
      </c>
      <c r="C86" s="8" t="n">
        <v>2665151.57710107</v>
      </c>
      <c r="D86" s="8" t="n">
        <v>126236.82</v>
      </c>
      <c r="E86" s="12" t="n">
        <v>0.0473657187398361</v>
      </c>
      <c r="F86" s="8" t="n">
        <v>281951.11</v>
      </c>
      <c r="G86" s="12" t="n">
        <v>-0.552274080424794</v>
      </c>
      <c r="H86" s="8" t="n">
        <v>942129.233331562</v>
      </c>
      <c r="I86" s="12" t="n">
        <v>0.133990980784665</v>
      </c>
    </row>
    <row r="87" customFormat="false" ht="14" hidden="false" customHeight="true" outlineLevel="0" collapsed="false">
      <c r="B87" s="7" t="s">
        <v>14</v>
      </c>
      <c r="C87" s="8" t="n">
        <v>959454.567756386</v>
      </c>
      <c r="D87" s="8" t="n">
        <v>0</v>
      </c>
      <c r="E87" s="12" t="n">
        <v>0</v>
      </c>
      <c r="F87" s="8" t="n">
        <v>1984</v>
      </c>
      <c r="G87" s="12" t="n">
        <v>-1</v>
      </c>
      <c r="H87" s="8" t="n">
        <v>339166.523999362</v>
      </c>
      <c r="I87" s="12" t="n">
        <v>0</v>
      </c>
    </row>
    <row r="90" customFormat="false" ht="14" hidden="false" customHeight="true" outlineLevel="0" collapsed="false">
      <c r="B90" s="2" t="s">
        <v>117</v>
      </c>
      <c r="C90" s="1"/>
      <c r="D90" s="1"/>
      <c r="E90" s="1"/>
      <c r="F90" s="1"/>
      <c r="G90" s="1"/>
      <c r="H90" s="1"/>
      <c r="I90" s="1"/>
    </row>
    <row r="91" customFormat="false" ht="14" hidden="false" customHeight="true" outlineLevel="0" collapsed="false">
      <c r="B91" s="5" t="s">
        <v>3</v>
      </c>
      <c r="C91" s="4"/>
      <c r="D91" s="1"/>
      <c r="E91" s="1"/>
      <c r="F91" s="1"/>
      <c r="G91" s="1"/>
      <c r="H91" s="1"/>
      <c r="I91" s="1"/>
    </row>
    <row r="92" customFormat="false" ht="14" hidden="false" customHeight="true" outlineLevel="0" collapsed="false">
      <c r="B92" s="34" t="s">
        <v>4</v>
      </c>
      <c r="C92" s="6" t="s">
        <v>5</v>
      </c>
      <c r="D92" s="6" t="s">
        <v>6</v>
      </c>
      <c r="E92" s="6" t="s">
        <v>7</v>
      </c>
      <c r="F92" s="6" t="s">
        <v>8</v>
      </c>
      <c r="G92" s="6" t="s">
        <v>9</v>
      </c>
      <c r="H92" s="6" t="s">
        <v>115</v>
      </c>
      <c r="I92" s="6" t="s">
        <v>116</v>
      </c>
    </row>
    <row r="93" customFormat="false" ht="14" hidden="false" customHeight="true" outlineLevel="0" collapsed="false">
      <c r="B93" s="7" t="s">
        <v>105</v>
      </c>
      <c r="C93" s="8" t="n">
        <v>31995977.6174112</v>
      </c>
      <c r="D93" s="8" t="n">
        <v>8329475.34</v>
      </c>
      <c r="E93" s="12" t="n">
        <v>0.26032882756698</v>
      </c>
      <c r="F93" s="8" t="n">
        <v>9780616.37</v>
      </c>
      <c r="G93" s="12" t="n">
        <v>-0.148369077684211</v>
      </c>
      <c r="H93" s="8" t="n">
        <v>11310555.8878471</v>
      </c>
      <c r="I93" s="9" t="n">
        <v>0.736433772362137</v>
      </c>
    </row>
    <row r="94" customFormat="false" ht="14" hidden="false" customHeight="true" outlineLevel="0" collapsed="false">
      <c r="B94" s="7" t="s">
        <v>15</v>
      </c>
      <c r="C94" s="8" t="n">
        <v>5287223.3655158</v>
      </c>
      <c r="D94" s="8" t="n">
        <v>1653481.53</v>
      </c>
      <c r="E94" s="12" t="n">
        <v>0.312731544648614</v>
      </c>
      <c r="F94" s="8" t="n">
        <v>824789.8</v>
      </c>
      <c r="G94" s="12" t="n">
        <v>1.00473081747616</v>
      </c>
      <c r="H94" s="8" t="n">
        <v>1869029.79125274</v>
      </c>
      <c r="I94" s="9" t="n">
        <v>0.884673715602862</v>
      </c>
    </row>
    <row r="95" customFormat="false" ht="14" hidden="false" customHeight="true" outlineLevel="0" collapsed="false">
      <c r="B95" s="7" t="s">
        <v>13</v>
      </c>
      <c r="C95" s="8" t="n">
        <v>1413193.74949892</v>
      </c>
      <c r="D95" s="8" t="n">
        <v>370642.44</v>
      </c>
      <c r="E95" s="12" t="n">
        <v>0.262272912069856</v>
      </c>
      <c r="F95" s="8" t="n">
        <v>219485.63</v>
      </c>
      <c r="G95" s="12" t="n">
        <v>0.688686589641427</v>
      </c>
      <c r="H95" s="8" t="n">
        <v>499563.009925524</v>
      </c>
      <c r="I95" s="9" t="n">
        <v>0.741933314989146</v>
      </c>
    </row>
    <row r="96" customFormat="false" ht="14" hidden="false" customHeight="true" outlineLevel="0" collapsed="false">
      <c r="B96" s="7" t="s">
        <v>14</v>
      </c>
      <c r="C96" s="8" t="n">
        <v>25295560.5023965</v>
      </c>
      <c r="D96" s="8" t="n">
        <v>6305351.37</v>
      </c>
      <c r="E96" s="12" t="n">
        <v>0.249267114259146</v>
      </c>
      <c r="F96" s="8" t="n">
        <v>8736340.94</v>
      </c>
      <c r="G96" s="12" t="n">
        <v>-0.278261755887929</v>
      </c>
      <c r="H96" s="8" t="n">
        <v>8941963.08666881</v>
      </c>
      <c r="I96" s="9" t="n">
        <v>0.705141735532367</v>
      </c>
    </row>
    <row r="99" customFormat="false" ht="14" hidden="false" customHeight="true" outlineLevel="0" collapsed="false">
      <c r="B99" s="45" t="s">
        <v>123</v>
      </c>
      <c r="C99" s="1"/>
      <c r="D99" s="1"/>
      <c r="E99" s="1"/>
      <c r="F99" s="1"/>
      <c r="G99" s="1"/>
      <c r="H99" s="1"/>
      <c r="I99" s="1"/>
      <c r="J99" s="1"/>
    </row>
    <row r="100" customFormat="false" ht="14" hidden="false" customHeight="true" outlineLevel="0" collapsed="false">
      <c r="B100" s="5" t="s">
        <v>3</v>
      </c>
      <c r="C100" s="1"/>
      <c r="D100" s="1"/>
      <c r="E100" s="1"/>
      <c r="F100" s="1"/>
      <c r="G100" s="1"/>
      <c r="H100" s="1"/>
      <c r="I100" s="1"/>
      <c r="J100" s="1"/>
    </row>
    <row r="101" customFormat="false" ht="14" hidden="false" customHeight="true" outlineLevel="0" collapsed="false">
      <c r="B101" s="34" t="s">
        <v>4</v>
      </c>
      <c r="C101" s="46" t="s">
        <v>124</v>
      </c>
      <c r="D101" s="46"/>
      <c r="E101" s="31" t="s">
        <v>125</v>
      </c>
      <c r="F101" s="31"/>
      <c r="G101" s="31"/>
      <c r="H101" s="31"/>
    </row>
    <row r="102" customFormat="false" ht="14" hidden="false" customHeight="true" outlineLevel="0" collapsed="false">
      <c r="B102" s="34"/>
      <c r="C102" s="46" t="s">
        <v>126</v>
      </c>
      <c r="D102" s="47" t="s">
        <v>127</v>
      </c>
      <c r="E102" s="21" t="s">
        <v>128</v>
      </c>
      <c r="F102" s="21" t="s">
        <v>129</v>
      </c>
      <c r="G102" s="31" t="s">
        <v>130</v>
      </c>
      <c r="H102" s="21" t="s">
        <v>59</v>
      </c>
    </row>
    <row r="103" customFormat="false" ht="14" hidden="false" customHeight="true" outlineLevel="0" collapsed="false">
      <c r="B103" s="7" t="s">
        <v>132</v>
      </c>
      <c r="C103" s="49" t="n">
        <v>0.205557173087475</v>
      </c>
      <c r="D103" s="49" t="n">
        <v>0.332981</v>
      </c>
      <c r="E103" s="50" t="n">
        <f aca="false">D103/C103</f>
        <v>1.61989482049502</v>
      </c>
      <c r="F103" s="50" t="n">
        <v>2.0376362786555</v>
      </c>
      <c r="G103" s="9" t="n">
        <f aca="false">E103-F103</f>
        <v>-0.417741458160475</v>
      </c>
      <c r="H103" s="9" t="n">
        <f aca="false">E103/F103</f>
        <v>0.794987229793477</v>
      </c>
    </row>
    <row r="104" customFormat="false" ht="14" hidden="false" customHeight="true" outlineLevel="0" collapsed="false">
      <c r="B104" s="7" t="s">
        <v>134</v>
      </c>
      <c r="C104" s="49" t="n">
        <v>0.00708723612237236</v>
      </c>
      <c r="D104" s="49" t="n">
        <v>0.0293713034156799</v>
      </c>
      <c r="E104" s="50" t="n">
        <f aca="false">D104/C104</f>
        <v>4.14425354377049</v>
      </c>
      <c r="F104" s="50" t="n">
        <v>2.9061</v>
      </c>
      <c r="G104" s="9" t="n">
        <f aca="false">E104-F104</f>
        <v>1.23815354377049</v>
      </c>
      <c r="H104" s="9" t="n">
        <f aca="false">E104/F104</f>
        <v>1.42605331673738</v>
      </c>
    </row>
  </sheetData>
  <mergeCells count="12">
    <mergeCell ref="B15:B16"/>
    <mergeCell ref="C15:G15"/>
    <mergeCell ref="B34:B35"/>
    <mergeCell ref="C34:G34"/>
    <mergeCell ref="H34:K34"/>
    <mergeCell ref="L34:O34"/>
    <mergeCell ref="B46:B47"/>
    <mergeCell ref="C46:E46"/>
    <mergeCell ref="F46:H46"/>
    <mergeCell ref="B101:B102"/>
    <mergeCell ref="C101:D101"/>
    <mergeCell ref="E101:H101"/>
  </mergeCells>
  <conditionalFormatting sqref="E84:E87">
    <cfRule type="iconSet" priority="2">
      <iconSet iconSet="3Symbols2">
        <cfvo type="percent" val="0"/>
        <cfvo type="num" val="1"/>
        <cfvo type="num" val="1"/>
      </iconSet>
    </cfRule>
  </conditionalFormatting>
  <conditionalFormatting sqref="G84:G87">
    <cfRule type="iconSet" priority="3">
      <iconSet iconSet="3Arrows">
        <cfvo type="percent" val="0"/>
        <cfvo type="num" val="0"/>
        <cfvo type="num" val="0"/>
      </iconSet>
    </cfRule>
  </conditionalFormatting>
  <conditionalFormatting sqref="I84:I87">
    <cfRule type="iconSet" priority="4">
      <iconSet iconSet="3Symbols2">
        <cfvo type="percent" val="0"/>
        <cfvo type="num" val="1"/>
        <cfvo type="num" val="1"/>
      </iconSet>
    </cfRule>
  </conditionalFormatting>
  <conditionalFormatting sqref="E6:E12">
    <cfRule type="iconSet" priority="5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6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7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8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9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10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11">
      <iconSet iconSet="3Arrows">
        <cfvo type="percent" val="0"/>
        <cfvo type="num" val="0"/>
        <cfvo type="num" val="0"/>
      </iconSet>
    </cfRule>
  </conditionalFormatting>
  <conditionalFormatting sqref="J29">
    <cfRule type="cellIs" priority="12" operator="lessThan" aboveAverage="0" equalAverage="0" bottom="0" percent="0" rank="0" text="" dxfId="0">
      <formula>0</formula>
    </cfRule>
    <cfRule type="iconSet" priority="13">
      <iconSet iconSet="3Symbols2">
        <cfvo type="percent" val="0"/>
        <cfvo type="num" val="0"/>
        <cfvo type="num" val="0"/>
      </iconSet>
    </cfRule>
  </conditionalFormatting>
  <conditionalFormatting sqref="H29">
    <cfRule type="iconSet" priority="14">
      <iconSet iconSet="3Symbols2">
        <cfvo type="percent" val="0"/>
        <cfvo type="num" val="0"/>
        <cfvo type="num" val="0"/>
      </iconSet>
    </cfRule>
  </conditionalFormatting>
  <conditionalFormatting sqref="I29">
    <cfRule type="iconSet" priority="15">
      <iconSet iconSet="3Symbols2">
        <cfvo type="percent" val="0"/>
        <cfvo type="num" val="1"/>
        <cfvo type="num" val="1"/>
      </iconSet>
    </cfRule>
  </conditionalFormatting>
  <conditionalFormatting sqref="J28">
    <cfRule type="cellIs" priority="16" operator="lessThan" aboveAverage="0" equalAverage="0" bottom="0" percent="0" rank="0" text="" dxfId="0">
      <formula>0</formula>
    </cfRule>
    <cfRule type="iconSet" priority="17">
      <iconSet iconSet="3Symbols2">
        <cfvo type="percent" val="0"/>
        <cfvo type="num" val="0"/>
        <cfvo type="num" val="0"/>
      </iconSet>
    </cfRule>
  </conditionalFormatting>
  <conditionalFormatting sqref="H28">
    <cfRule type="iconSet" priority="18">
      <iconSet iconSet="3Symbols2">
        <cfvo type="percent" val="0"/>
        <cfvo type="num" val="0"/>
        <cfvo type="num" val="0"/>
      </iconSet>
    </cfRule>
  </conditionalFormatting>
  <conditionalFormatting sqref="I28">
    <cfRule type="iconSet" priority="19">
      <iconSet iconSet="3Symbols2">
        <cfvo type="percent" val="0"/>
        <cfvo type="num" val="1"/>
        <cfvo type="num" val="1"/>
      </iconSet>
    </cfRule>
  </conditionalFormatting>
  <conditionalFormatting sqref="C36:C42">
    <cfRule type="iconSet" priority="20">
      <iconSet iconSet="3Symbols2">
        <cfvo type="percent" val="0"/>
        <cfvo type="num" val="100"/>
        <cfvo type="num" val="100"/>
      </iconSet>
    </cfRule>
  </conditionalFormatting>
  <conditionalFormatting sqref="E48:E54">
    <cfRule type="iconSet" priority="21">
      <iconSet iconSet="3Symbols2" reverse="1">
        <cfvo type="percent" val="0"/>
        <cfvo type="num" val="-0.02"/>
        <cfvo type="num" val="-0.02"/>
      </iconSet>
    </cfRule>
  </conditionalFormatting>
  <conditionalFormatting sqref="H48:H54">
    <cfRule type="iconSet" priority="22">
      <iconSet iconSet="3Symbols2" reverse="1">
        <cfvo type="percent" val="0"/>
        <cfvo type="num" val="-0.02"/>
        <cfvo type="num" val="-0.02"/>
      </iconSet>
    </cfRule>
  </conditionalFormatting>
  <conditionalFormatting sqref="G60">
    <cfRule type="cellIs" priority="23" operator="greaterThan" aboveAverage="0" equalAverage="0" bottom="0" percent="0" rank="0" text="" dxfId="1">
      <formula>0</formula>
    </cfRule>
    <cfRule type="iconSet" priority="24">
      <iconSet iconSet="3Arrows">
        <cfvo type="percent" val="0"/>
        <cfvo type="num" val="0"/>
        <cfvo type="num" val="0"/>
      </iconSet>
    </cfRule>
  </conditionalFormatting>
  <conditionalFormatting sqref="G61:G66">
    <cfRule type="cellIs" priority="25" operator="greaterThan" aboveAverage="0" equalAverage="0" bottom="0" percent="0" rank="0" text="" dxfId="1">
      <formula>0</formula>
    </cfRule>
    <cfRule type="iconSet" priority="26">
      <iconSet iconSet="3Arrows">
        <cfvo type="percent" val="0"/>
        <cfvo type="num" val="0"/>
        <cfvo type="num" val="0"/>
      </iconSet>
    </cfRule>
  </conditionalFormatting>
  <conditionalFormatting sqref="J60">
    <cfRule type="cellIs" priority="27" operator="greaterThan" aboveAverage="0" equalAverage="0" bottom="0" percent="0" rank="0" text="" dxfId="1">
      <formula>0</formula>
    </cfRule>
    <cfRule type="iconSet" priority="28">
      <iconSet iconSet="3Arrows">
        <cfvo type="percent" val="0"/>
        <cfvo type="num" val="0"/>
        <cfvo type="num" val="0"/>
      </iconSet>
    </cfRule>
  </conditionalFormatting>
  <conditionalFormatting sqref="J61:J66">
    <cfRule type="cellIs" priority="29" operator="greaterThan" aboveAverage="0" equalAverage="0" bottom="0" percent="0" rank="0" text="" dxfId="1">
      <formula>0</formula>
    </cfRule>
    <cfRule type="iconSet" priority="30">
      <iconSet iconSet="3Arrows">
        <cfvo type="percent" val="0"/>
        <cfvo type="num" val="0"/>
        <cfvo type="num" val="0"/>
      </iconSet>
    </cfRule>
  </conditionalFormatting>
  <conditionalFormatting sqref="M60">
    <cfRule type="cellIs" priority="31" operator="lessThan" aboveAverage="0" equalAverage="0" bottom="0" percent="0" rank="0" text="" dxfId="1">
      <formula>0</formula>
    </cfRule>
    <cfRule type="iconSet" priority="32">
      <iconSet iconSet="3Arrows">
        <cfvo type="percent" val="0"/>
        <cfvo type="num" val="0"/>
        <cfvo type="num" val="0"/>
      </iconSet>
    </cfRule>
  </conditionalFormatting>
  <conditionalFormatting sqref="M61:M66">
    <cfRule type="cellIs" priority="33" operator="lessThan" aboveAverage="0" equalAverage="0" bottom="0" percent="0" rank="0" text="" dxfId="1">
      <formula>0</formula>
    </cfRule>
    <cfRule type="iconSet" priority="34">
      <iconSet iconSet="3Arrows">
        <cfvo type="percent" val="0"/>
        <cfvo type="num" val="0"/>
        <cfvo type="num" val="0"/>
      </iconSet>
    </cfRule>
  </conditionalFormatting>
  <conditionalFormatting sqref="P60">
    <cfRule type="cellIs" priority="35" operator="greaterThan" aboveAverage="0" equalAverage="0" bottom="0" percent="0" rank="0" text="" dxfId="1">
      <formula>0</formula>
    </cfRule>
    <cfRule type="iconSet" priority="36">
      <iconSet iconSet="3Arrows">
        <cfvo type="percent" val="0"/>
        <cfvo type="num" val="0"/>
        <cfvo type="num" val="0"/>
      </iconSet>
    </cfRule>
  </conditionalFormatting>
  <conditionalFormatting sqref="P61:P66">
    <cfRule type="cellIs" priority="37" operator="greaterThan" aboveAverage="0" equalAverage="0" bottom="0" percent="0" rank="0" text="" dxfId="1">
      <formula>0</formula>
    </cfRule>
    <cfRule type="iconSet" priority="38">
      <iconSet iconSet="3Arrows">
        <cfvo type="percent" val="0"/>
        <cfvo type="num" val="0"/>
        <cfvo type="num" val="0"/>
      </iconSet>
    </cfRule>
  </conditionalFormatting>
  <conditionalFormatting sqref="G72">
    <cfRule type="iconSet" priority="39">
      <iconSet iconSet="3Symbols2">
        <cfvo type="percent" val="0"/>
        <cfvo type="num" val="0.5"/>
        <cfvo type="num" val="0.5"/>
      </iconSet>
    </cfRule>
  </conditionalFormatting>
  <conditionalFormatting sqref="G73:G77">
    <cfRule type="iconSet" priority="40">
      <iconSet iconSet="3Symbols2">
        <cfvo type="percent" val="0"/>
        <cfvo type="num" val="0.5"/>
        <cfvo type="num" val="0.5"/>
      </iconSet>
    </cfRule>
  </conditionalFormatting>
  <conditionalFormatting sqref="G78">
    <cfRule type="iconSet" priority="41">
      <iconSet iconSet="3Symbols2">
        <cfvo type="percent" val="0"/>
        <cfvo type="num" val="0.5"/>
        <cfvo type="num" val="0.5"/>
      </iconSet>
    </cfRule>
  </conditionalFormatting>
  <conditionalFormatting sqref="E93:E96">
    <cfRule type="iconSet" priority="42">
      <iconSet iconSet="3Symbols2">
        <cfvo type="percent" val="0"/>
        <cfvo type="num" val="1"/>
        <cfvo type="num" val="1"/>
      </iconSet>
    </cfRule>
  </conditionalFormatting>
  <conditionalFormatting sqref="G93:G96">
    <cfRule type="iconSet" priority="43">
      <iconSet iconSet="3Arrows">
        <cfvo type="percent" val="0"/>
        <cfvo type="num" val="0"/>
        <cfvo type="num" val="0"/>
      </iconSet>
    </cfRule>
  </conditionalFormatting>
  <conditionalFormatting sqref="I93:I96">
    <cfRule type="iconSet" priority="44">
      <iconSet iconSet="3Symbols2">
        <cfvo type="percent" val="0"/>
        <cfvo type="num" val="1"/>
        <cfvo type="num" val="1"/>
      </iconSet>
    </cfRule>
  </conditionalFormatting>
  <conditionalFormatting sqref="G103">
    <cfRule type="cellIs" priority="45" operator="lessThan" aboveAverage="0" equalAverage="0" bottom="0" percent="0" rank="0" text="" dxfId="1">
      <formula>0</formula>
    </cfRule>
  </conditionalFormatting>
  <conditionalFormatting sqref="H103">
    <cfRule type="iconSet" priority="46">
      <iconSet iconSet="3Symbols2">
        <cfvo type="percent" val="0"/>
        <cfvo type="num" val="1"/>
        <cfvo type="num" val="1"/>
      </iconSet>
    </cfRule>
  </conditionalFormatting>
  <conditionalFormatting sqref="G104">
    <cfRule type="cellIs" priority="47" operator="lessThan" aboveAverage="0" equalAverage="0" bottom="0" percent="0" rank="0" text="" dxfId="1">
      <formula>0</formula>
    </cfRule>
  </conditionalFormatting>
  <conditionalFormatting sqref="H104">
    <cfRule type="iconSet" priority="48">
      <iconSet iconSet="3Symbols2">
        <cfvo type="percent" val="0"/>
        <cfvo type="num" val="1"/>
        <cfvo type="num" val="1"/>
      </iconSet>
    </cfRule>
  </conditionalFormatting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6640625" defaultRowHeight="13" zeroHeight="false" outlineLevelRow="0" outlineLevelCol="0"/>
  <cols>
    <col collapsed="false" customWidth="false" hidden="false" outlineLevel="0" max="6" min="1" style="1" width="8.66"/>
    <col collapsed="false" customWidth="true" hidden="false" outlineLevel="0" max="7" min="7" style="4" width="9.83"/>
    <col collapsed="false" customWidth="false" hidden="false" outlineLevel="0" max="1024" min="8" style="1" width="8.66"/>
  </cols>
  <sheetData>
    <row r="1" s="33" customFormat="true" ht="40.5" hidden="false" customHeight="true" outlineLevel="0" collapsed="false">
      <c r="A1" s="6" t="s">
        <v>4</v>
      </c>
      <c r="B1" s="34" t="s">
        <v>155</v>
      </c>
      <c r="C1" s="34" t="s">
        <v>90</v>
      </c>
      <c r="D1" s="34" t="s">
        <v>93</v>
      </c>
      <c r="E1" s="34" t="s">
        <v>156</v>
      </c>
      <c r="F1" s="34" t="s">
        <v>157</v>
      </c>
      <c r="G1" s="34" t="s">
        <v>158</v>
      </c>
      <c r="H1" s="34"/>
      <c r="I1" s="34"/>
      <c r="J1" s="34"/>
      <c r="K1" s="34"/>
      <c r="L1" s="34"/>
      <c r="M1" s="34"/>
      <c r="N1" s="34"/>
      <c r="O1" s="34"/>
    </row>
    <row r="2" customFormat="false" ht="45" hidden="false" customHeight="true" outlineLevel="0" collapsed="false">
      <c r="A2" s="7" t="s">
        <v>16</v>
      </c>
      <c r="B2" s="26" t="n">
        <v>0</v>
      </c>
      <c r="C2" s="12" t="n">
        <v>6.36928834948623</v>
      </c>
      <c r="D2" s="12" t="n">
        <v>20.6052083887706</v>
      </c>
      <c r="E2" s="70" t="n">
        <v>6.36928834948623</v>
      </c>
      <c r="F2" s="70" t="n">
        <v>20.6052083887706</v>
      </c>
      <c r="G2" s="71" t="s">
        <v>159</v>
      </c>
      <c r="H2" s="71"/>
      <c r="I2" s="71"/>
      <c r="J2" s="71"/>
      <c r="K2" s="71"/>
      <c r="L2" s="71"/>
      <c r="M2" s="71"/>
      <c r="N2" s="71"/>
      <c r="O2" s="71"/>
    </row>
    <row r="3" customFormat="false" ht="57.5" hidden="false" customHeight="true" outlineLevel="0" collapsed="false">
      <c r="A3" s="7" t="s">
        <v>13</v>
      </c>
      <c r="B3" s="26" t="n">
        <v>64.1298681926836</v>
      </c>
      <c r="C3" s="12" t="n">
        <v>-0.453753534531998</v>
      </c>
      <c r="D3" s="12" t="n">
        <v>6.19806830849321</v>
      </c>
      <c r="E3" s="70" t="n">
        <v>-1</v>
      </c>
      <c r="F3" s="70" t="n">
        <v>5.5</v>
      </c>
      <c r="G3" s="72" t="s">
        <v>160</v>
      </c>
      <c r="H3" s="72"/>
      <c r="I3" s="72"/>
      <c r="J3" s="72"/>
      <c r="K3" s="72"/>
      <c r="L3" s="72"/>
      <c r="M3" s="72"/>
      <c r="N3" s="72"/>
      <c r="O3" s="72"/>
    </row>
    <row r="4" customFormat="false" ht="126" hidden="false" customHeight="true" outlineLevel="0" collapsed="false">
      <c r="A4" s="7" t="s">
        <v>14</v>
      </c>
      <c r="B4" s="26" t="n">
        <v>13.9822429760149</v>
      </c>
      <c r="C4" s="12" t="n">
        <v>8.29451524955312</v>
      </c>
      <c r="D4" s="12" t="n">
        <v>-3.27473043842711</v>
      </c>
      <c r="E4" s="70" t="n">
        <v>6.33</v>
      </c>
      <c r="F4" s="73"/>
      <c r="G4" s="71" t="s">
        <v>161</v>
      </c>
      <c r="H4" s="71"/>
      <c r="I4" s="71"/>
      <c r="J4" s="71"/>
      <c r="K4" s="71"/>
      <c r="L4" s="71"/>
      <c r="M4" s="71"/>
      <c r="N4" s="71"/>
      <c r="O4" s="71"/>
    </row>
    <row r="5" customFormat="false" ht="41.5" hidden="false" customHeight="true" outlineLevel="0" collapsed="false">
      <c r="A5" s="7" t="s">
        <v>15</v>
      </c>
      <c r="B5" s="26" t="n">
        <v>0</v>
      </c>
      <c r="C5" s="12" t="n">
        <v>8.72545495904946</v>
      </c>
      <c r="D5" s="12" t="s">
        <v>86</v>
      </c>
      <c r="E5" s="70" t="n">
        <v>6.16</v>
      </c>
      <c r="F5" s="73"/>
      <c r="G5" s="71" t="s">
        <v>162</v>
      </c>
      <c r="H5" s="71"/>
      <c r="I5" s="71"/>
      <c r="J5" s="71"/>
      <c r="K5" s="71"/>
      <c r="L5" s="71"/>
      <c r="M5" s="71"/>
      <c r="N5" s="71"/>
      <c r="O5" s="71"/>
    </row>
    <row r="8" customFormat="false" ht="13" hidden="false" customHeight="true" outlineLevel="0" collapsed="false">
      <c r="A8" s="4" t="s">
        <v>163</v>
      </c>
    </row>
    <row r="9" customFormat="false" ht="13.5" hidden="false" customHeight="true" outlineLevel="0" collapsed="false">
      <c r="A9" s="21" t="s">
        <v>4</v>
      </c>
      <c r="B9" s="21" t="s">
        <v>164</v>
      </c>
      <c r="C9" s="21"/>
      <c r="D9" s="21"/>
      <c r="E9" s="21" t="s">
        <v>165</v>
      </c>
      <c r="F9" s="21"/>
      <c r="G9" s="21"/>
      <c r="H9" s="21" t="s">
        <v>166</v>
      </c>
    </row>
    <row r="10" customFormat="false" ht="27" hidden="false" customHeight="true" outlineLevel="0" collapsed="false">
      <c r="A10" s="21"/>
      <c r="B10" s="21" t="s">
        <v>82</v>
      </c>
      <c r="C10" s="21" t="s">
        <v>83</v>
      </c>
      <c r="D10" s="34" t="s">
        <v>84</v>
      </c>
      <c r="E10" s="34" t="s">
        <v>82</v>
      </c>
      <c r="F10" s="34" t="s">
        <v>83</v>
      </c>
      <c r="G10" s="34" t="s">
        <v>84</v>
      </c>
      <c r="H10" s="21"/>
    </row>
    <row r="11" customFormat="false" ht="13" hidden="false" customHeight="true" outlineLevel="0" collapsed="false">
      <c r="A11" s="7" t="s">
        <v>16</v>
      </c>
      <c r="B11" s="12" t="n">
        <v>0.764051795687026</v>
      </c>
      <c r="C11" s="12" t="n">
        <v>0.761880173016828</v>
      </c>
      <c r="D11" s="12" t="n">
        <v>0.217162267019802</v>
      </c>
      <c r="E11" s="12" t="n">
        <v>0.575915945284716</v>
      </c>
      <c r="F11" s="12" t="n">
        <v>0.64810515351698</v>
      </c>
      <c r="G11" s="12" t="n">
        <v>-7.21892082322639</v>
      </c>
      <c r="H11" s="12" t="n">
        <f aca="false">IF(G11-D11=0,"-",G11-D11)</f>
        <v>-7.43608309024619</v>
      </c>
    </row>
    <row r="12" customFormat="false" ht="13" hidden="false" customHeight="true" outlineLevel="0" collapsed="false">
      <c r="A12" s="7" t="s">
        <v>13</v>
      </c>
      <c r="B12" s="12" t="n">
        <v>0.808380412375371</v>
      </c>
      <c r="C12" s="12" t="n">
        <v>0.80772293533791</v>
      </c>
      <c r="D12" s="12" t="n">
        <v>0.0657477037461263</v>
      </c>
      <c r="E12" s="12" t="n">
        <v>0.777659393971829</v>
      </c>
      <c r="F12" s="12" t="n">
        <v>0.77705973682281</v>
      </c>
      <c r="G12" s="12" t="n">
        <v>0.0599657149019217</v>
      </c>
      <c r="H12" s="12" t="n">
        <f aca="false">IF(G12-D12=0,"-",G12-D12)</f>
        <v>-0.0057819888442046</v>
      </c>
    </row>
    <row r="13" customFormat="false" ht="13" hidden="false" customHeight="true" outlineLevel="0" collapsed="false">
      <c r="A13" s="7" t="s">
        <v>15</v>
      </c>
      <c r="B13" s="12" t="n">
        <v>0.819537648054402</v>
      </c>
      <c r="C13" s="12" t="n">
        <v>0.737408883747131</v>
      </c>
      <c r="D13" s="12" t="n">
        <v>8.21287643072715</v>
      </c>
      <c r="E13" s="12" t="n">
        <v>0.818579158481076</v>
      </c>
      <c r="F13" s="12" t="n">
        <v>0.734356687253929</v>
      </c>
      <c r="G13" s="12" t="n">
        <v>8.42224712271469</v>
      </c>
      <c r="H13" s="12" t="n">
        <f aca="false">IF(G13-D13=0,"-",G13-D13)</f>
        <v>0.209370691987541</v>
      </c>
    </row>
    <row r="14" customFormat="false" ht="13" hidden="false" customHeight="true" outlineLevel="0" collapsed="false">
      <c r="A14" s="7" t="s">
        <v>19</v>
      </c>
      <c r="B14" s="12" t="n">
        <v>0.820392522646629</v>
      </c>
      <c r="C14" s="12" t="n">
        <v>0.804210045097496</v>
      </c>
      <c r="D14" s="73" t="n">
        <v>1.6182477549134</v>
      </c>
      <c r="E14" s="12" t="n">
        <v>0.797225933355063</v>
      </c>
      <c r="F14" s="12" t="n">
        <v>0.780253455839939</v>
      </c>
      <c r="G14" s="28" t="n">
        <v>1.69724775151234</v>
      </c>
      <c r="H14" s="12" t="n">
        <f aca="false">IF(G14-D14=0,"-",G14-D14)</f>
        <v>0.0789999965989401</v>
      </c>
    </row>
    <row r="20" customFormat="false" ht="13" hidden="false" customHeight="true" outlineLevel="0" collapsed="false">
      <c r="C20" s="11"/>
      <c r="D20" s="11"/>
      <c r="E20" s="11"/>
      <c r="F20" s="11"/>
      <c r="G20" s="74"/>
    </row>
    <row r="21" customFormat="false" ht="13" hidden="false" customHeight="true" outlineLevel="0" collapsed="false">
      <c r="C21" s="11"/>
      <c r="D21" s="11"/>
      <c r="E21" s="11"/>
      <c r="F21" s="11"/>
      <c r="G21" s="74"/>
    </row>
    <row r="22" customFormat="false" ht="13" hidden="false" customHeight="true" outlineLevel="0" collapsed="false">
      <c r="C22" s="11"/>
      <c r="D22" s="11"/>
      <c r="E22" s="11"/>
      <c r="F22" s="11"/>
      <c r="G22" s="74"/>
    </row>
    <row r="23" customFormat="false" ht="13" hidden="false" customHeight="true" outlineLevel="0" collapsed="false">
      <c r="C23" s="11"/>
      <c r="D23" s="11"/>
      <c r="E23" s="11"/>
      <c r="F23" s="11"/>
      <c r="G23" s="74"/>
    </row>
    <row r="24" customFormat="false" ht="13" hidden="false" customHeight="true" outlineLevel="0" collapsed="false">
      <c r="C24" s="11"/>
      <c r="D24" s="11"/>
      <c r="E24" s="11"/>
      <c r="F24" s="11"/>
      <c r="G24" s="74"/>
    </row>
    <row r="25" customFormat="false" ht="13" hidden="false" customHeight="true" outlineLevel="0" collapsed="false">
      <c r="C25" s="11"/>
      <c r="D25" s="11"/>
      <c r="E25" s="11"/>
      <c r="F25" s="11"/>
      <c r="G25" s="74"/>
    </row>
    <row r="26" customFormat="false" ht="13" hidden="false" customHeight="true" outlineLevel="0" collapsed="false">
      <c r="C26" s="11"/>
      <c r="D26" s="11"/>
      <c r="E26" s="11"/>
      <c r="F26" s="11"/>
      <c r="G26" s="74"/>
    </row>
  </sheetData>
  <mergeCells count="9">
    <mergeCell ref="G1:O1"/>
    <mergeCell ref="G2:O2"/>
    <mergeCell ref="G3:O3"/>
    <mergeCell ref="G4:O4"/>
    <mergeCell ref="G5:O5"/>
    <mergeCell ref="A9:A10"/>
    <mergeCell ref="B9:D9"/>
    <mergeCell ref="E9:G9"/>
    <mergeCell ref="H9:H10"/>
  </mergeCells>
  <conditionalFormatting sqref="B2:B5">
    <cfRule type="iconSet" priority="2">
      <iconSet iconSet="3Symbols2">
        <cfvo type="percent" val="0"/>
        <cfvo type="num" val="100"/>
        <cfvo type="num" val="100"/>
      </iconSet>
    </cfRule>
  </conditionalFormatting>
  <conditionalFormatting sqref="H11:H14">
    <cfRule type="iconSet" priority="3">
      <iconSet iconSet="3Arrows">
        <cfvo type="percent" val="0"/>
        <cfvo type="num" val="0"/>
        <cfvo type="num" val="0"/>
      </iconSet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en-US</dc:language>
  <cp:lastModifiedBy>捉鱼(潘卓云)[时尚服饰事业部]</cp:lastModifiedBy>
  <cp:lastPrinted>2026-07-13T01:37:53Z</cp:lastPrinted>
  <dcterms:modified xsi:type="dcterms:W3CDTF">2026-07-30T06:29:34Z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